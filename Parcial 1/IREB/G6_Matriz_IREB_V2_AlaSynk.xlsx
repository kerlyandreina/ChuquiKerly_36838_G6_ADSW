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NIVERSIDAD\IngenieriaSoftware\6TO SEMESTRE\G6_Analisis\ChuquiKerly_36838_G6_ADSW\Parcial 1\"/>
    </mc:Choice>
  </mc:AlternateContent>
  <xr:revisionPtr revIDLastSave="0" documentId="13_ncr:1_{1CF33D17-2586-4985-A5CE-E02E11F42A69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Matriz Ckeck LIst" sheetId="1" r:id="rId1"/>
    <sheet name="CheckList" sheetId="2" r:id="rId2"/>
    <sheet name="MODELO LISTA DE COMPROBACION - " sheetId="3" r:id="rId3"/>
    <sheet name="RECOMENDACIONE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JA8YBayJ+Kn04Ng1S1PFgyp/tvddj78sEkQU2w76VQ="/>
    </ext>
  </extLst>
</workbook>
</file>

<file path=xl/calcChain.xml><?xml version="1.0" encoding="utf-8"?>
<calcChain xmlns="http://schemas.openxmlformats.org/spreadsheetml/2006/main">
  <c r="P35" i="3" l="1"/>
  <c r="P36" i="3" s="1"/>
  <c r="O35" i="3"/>
  <c r="O36" i="3" s="1"/>
  <c r="O43" i="3" s="1"/>
  <c r="J35" i="3"/>
  <c r="J36" i="3" s="1"/>
  <c r="I35" i="3"/>
  <c r="I36" i="3" s="1"/>
  <c r="I43" i="3" s="1"/>
  <c r="D35" i="3"/>
  <c r="D36" i="3" s="1"/>
  <c r="C35" i="3"/>
  <c r="C36" i="3" s="1"/>
  <c r="C43" i="3" s="1"/>
  <c r="P27" i="3"/>
  <c r="P28" i="3" s="1"/>
  <c r="O27" i="3"/>
  <c r="O28" i="3" s="1"/>
  <c r="O42" i="3" s="1"/>
  <c r="J27" i="3"/>
  <c r="J28" i="3" s="1"/>
  <c r="I27" i="3"/>
  <c r="I28" i="3" s="1"/>
  <c r="I42" i="3" s="1"/>
  <c r="D27" i="3"/>
  <c r="D28" i="3" s="1"/>
  <c r="C27" i="3"/>
  <c r="C28" i="3" s="1"/>
  <c r="C42" i="3" s="1"/>
  <c r="P17" i="3"/>
  <c r="P18" i="3" s="1"/>
  <c r="O17" i="3"/>
  <c r="O18" i="3" s="1"/>
  <c r="O41" i="3" s="1"/>
  <c r="J17" i="3"/>
  <c r="J18" i="3" s="1"/>
  <c r="I17" i="3"/>
  <c r="I18" i="3" s="1"/>
  <c r="I41" i="3" s="1"/>
  <c r="D17" i="3"/>
  <c r="D18" i="3" s="1"/>
  <c r="C17" i="3"/>
  <c r="C18" i="3" s="1"/>
  <c r="C4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ID#AAAB3Qoep3Q
jeny ruiz    (2026-04-14 14:52:44)
Control del nivel de acuedo entre las partes Cliente y Desarrollador</t>
        </r>
      </text>
    </comment>
    <comment ref="F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ID#AAAB3Qoep3k
jeny ruiz    (2026-04-14 14:52:44)
La información contenida en memoria se utiliza para actualizar los campos de la base de datos.</t>
        </r>
      </text>
    </comment>
    <comment ref="G7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ID#AAAB3Qoep2k
jeny ruiz    (2026-04-14 14:52:44)
Control del nivel de acuedo entre las partes Cliente y Desarrollador</t>
        </r>
      </text>
    </comment>
    <comment ref="I7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ID#AAAB3Qoep2I
jeny ruiz    (2026-04-14 14:52:44)
Se guarda en un archivo Excel los registros que dieron un problema en la actualización.</t>
        </r>
      </text>
    </comment>
    <comment ref="J7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ID#AAAB3Qoep3Y
jeny ruiz    (2026-04-14 14:52:44)
Control del nivel de acuedo entre las partes Cliente y Desarrollador</t>
        </r>
      </text>
    </comment>
    <comment ref="K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ID#AAAB3Qoep3w
jeny ruiz    (2026-04-14 14:52:44)
jeny ruiz:
Posterior a la actualización, se guardaran automáticamente el nombre de usuario, fecha, hora, registro antiguo, registro nuevo.</t>
        </r>
      </text>
    </comment>
    <comment ref="C9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ID#AAAB3Qoep2s
jeny ruiz    (2026-04-14 14:52:44)
Todos los interesados reconocen que el  requisito es correcto y relevante</t>
        </r>
      </text>
    </comment>
    <comment ref="F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ID#AAAB3Qoep3c
jeny ruiz    (2026-04-14 14:52:44)
Es importante ingresar el archivo plano en formato excel para el cliente y el desarrollador</t>
        </r>
      </text>
    </comment>
    <comment ref="I9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ID#AAAB3Qoep2Q
jeny ruiz    (2026-04-14 14:52:44)
Es importante ingresar el archivo plano en formato excel para el cliente y el desarrollador</t>
        </r>
      </text>
    </comment>
    <comment ref="K9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ID#AAAB3Qoep3A
jeny ruiz    (2026-04-14 14:52:44)
Es importante ingresar el archivo plano en formato excel para el cliente y el desarrollador</t>
        </r>
      </text>
    </comment>
    <comment ref="C10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ID#AAAB3Qoep3M
jeny ruiz    (2026-04-14 14:52:44)
Ponderado por importancia o prioridad</t>
        </r>
      </text>
    </comment>
    <comment ref="C11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ID#AAAB3Qoep3E
jeny ruiz    (2026-04-14 14:52:44)
Todos los lectores comprenden de la misma manera, sólo una interpretación</t>
        </r>
      </text>
    </comment>
    <comment ref="C1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ID#AAAB3Qoep3o
jeny ruiz    (2026-04-14 14:52:44)
Toda nueva información  ha sido incorporada</t>
        </r>
      </text>
    </comment>
    <comment ref="C13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ID#AAAB3Qoep3I
jeny ruiz    (2026-04-14 14:52:44)
Refleja las espectativas  del implicado</t>
        </r>
      </text>
    </comment>
    <comment ref="C14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ID#AAAB3Qoep20
jeny ruiz    (2026-04-14 14:52:44)
Sin contradicciones</t>
        </r>
      </text>
    </comment>
    <comment ref="C15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ID#AAAB3Qoep2c
jeny ruiz    (2026-04-14 14:52:44)
Su cumplimiento o no cumplimiento puede der probado con un esfuerzo razonable</t>
        </r>
      </text>
    </comment>
    <comment ref="C1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ID#AAAB3Qoep3s
jeny ruiz    (2026-04-14 14:52:44)
Puede ser implementado  y desarrollado en las condiciones actuales(tiempo, Presupuest,, orgtanizaciòn, ect)</t>
        </r>
      </text>
    </comment>
    <comment ref="C1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ID#AAAB3Qoep3U
jeny ruiz    (2026-04-14 14:52:44)
El origen del requisito y sus relaciones con otros requisitos  están claros.</t>
        </r>
      </text>
    </comment>
    <comment ref="C1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ID#AAAB3Qoep3g
jeny ruiz    (2026-04-14 14:52:44)
Trata todos los asuntos relevantes</t>
        </r>
      </text>
    </comment>
    <comment ref="C19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ID#AAAB3Qoep28
jeny ruiz    (2026-04-14 14:52:44)
Para todos los interesados dependiendo  de la fase del proyecto podrían estar involucrados  distintos implicados,(Glosario de tèrminos)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xpB7AEB3N+W6Ouwh7y7n/Txxm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tc={87EA9A0C-BE70-4902-B79E-4ED52DE104BE}</author>
    <author>tc={858E59DE-254E-4980-9983-69D1E9DC7E42}</author>
    <author>tc={F1C3ACE2-1966-471F-A072-F92BFA3BC91F}</author>
    <author>tc={A64C5EB9-F707-4C14-8045-597144A36AD3}</author>
    <author>tc={0FEC8AB7-8992-41EF-90BF-57C06EBBBC4F}</author>
    <author>tc={D4A3C0CF-2178-45AD-BD56-29C729DCD319}</author>
    <author>tc={8AB51025-122E-4C29-A1D6-A3C5622DC06C}</author>
    <author>tc={F743BB94-03B9-4203-9AFA-9D0C497A7E5C}</author>
    <author>tc={FD52D26D-4555-46C0-818B-6938485845B9}</author>
    <author>tc={8F934731-EE68-4BDE-94F7-62F6F8CA0666}</author>
    <author>tc={4922CFC8-6F03-4EEE-9A97-7B68573FF87B}</author>
    <author>tc={4E45C812-46CE-4683-87C6-DE123A05278E}</author>
    <author>tc={58431589-DAC5-4B2C-8417-652580952107}</author>
    <author>tc={B18514A5-BDE8-4DC1-A3E4-83619C3AC161}</author>
    <author>tc={4FCF3A98-55BF-46D5-9E3F-AC3A91438014}</author>
    <author>tc={9319B64C-C589-44E5-919E-E179BBB4EA70}</author>
    <author>tc={C9761A28-099D-430E-B168-13AF17DDD582}</author>
    <author>tc={1F295A7C-4AF6-426D-8AC2-53BA0E110725}</author>
    <author>tc={8B4E10C3-9FE0-4D40-B03A-E16E624A1465}</author>
    <author>tc={7A07C8FB-3CEC-4655-BC53-A159E6B1A268}</author>
    <author>tc={CAEC4035-A8F3-4A12-9B07-18D1A0E8BE64}</author>
    <author>tc={C766D5A4-A87F-44F6-943F-3FA9F7D5826B}</author>
    <author>tc={6640246A-2EA0-42C0-A154-310A34CD9502}</author>
    <author>tc={B2A06BB4-081C-401E-A602-2B65BA9930BB}</author>
    <author>tc={56C251BA-E4CB-42E1-AE5E-2E0B8BF35DBF}</author>
    <author>tc={865FB0A9-A1A4-49B7-B055-3FAAC5802121}</author>
    <author>tc={F775DB98-5555-4B97-AF7C-A57A1750DE95}</author>
    <author>tc={5153B3EF-9E65-4829-8A03-B046D02C93D3}</author>
    <author>tc={B2949BD8-C041-48BD-A8AD-8AA17D6FB3D6}</author>
    <author>tc={0A33BA45-7002-4F18-B982-236E95CF59B7}</author>
    <author>tc={F960C077-0E81-4343-8F71-FAA6163710F0}</author>
    <author>tc={65E5641E-E986-41F1-98BC-040A36F71DB3}</author>
    <author>tc={619155E7-F527-4988-8166-D7B7E4348172}</author>
  </authors>
  <commentList>
    <comment ref="F8" authorId="0" shapeId="0" xr:uid="{00000000-0006-0000-01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I8" authorId="1" shapeId="0" xr:uid="{00000000-0006-0000-0100-00000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K8" authorId="2" shapeId="0" xr:uid="{00000000-0006-0000-0100-00001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F9" authorId="3" shapeId="0" xr:uid="{00000000-0006-0000-01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I9" authorId="4" shapeId="0" xr:uid="{00000000-0006-0000-0100-00000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K9" authorId="5" shapeId="0" xr:uid="{00000000-0006-0000-0100-00001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F10" authorId="6" shapeId="0" xr:uid="{00000000-0006-0000-0100-00000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están definidos el ingreso por credenciales, la sesión y su cierre.</t>
      </text>
    </comment>
    <comment ref="I10" authorId="7" shapeId="0" xr:uid="{00000000-0006-0000-0100-00000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los campos y la autorización de cada operación.</t>
      </text>
    </comment>
    <comment ref="K10" authorId="8" shapeId="0" xr:uid="{00000000-0006-0000-0100-00001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la correspondencia entre roles, operaciones, sucursales y plan.</t>
      </text>
    </comment>
    <comment ref="F11" authorId="9" shapeId="0" xr:uid="{00000000-0006-0000-0100-00000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I11" authorId="10" shapeId="0" xr:uid="{00000000-0006-0000-0100-00000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K11" authorId="11" shapeId="0" xr:uid="{00000000-0006-0000-0100-00001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F12" authorId="12" shapeId="0" xr:uid="{00000000-0006-0000-0100-00000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protege el acceso individual a los módulos y datos.</t>
      </text>
    </comment>
    <comment ref="I12" authorId="13" shapeId="0" xr:uid="{00000000-0006-0000-0100-00001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organiza clínica y sucursales para los módulos autorizados.</t>
      </text>
    </comment>
    <comment ref="K12" authorId="14" shapeId="0" xr:uid="{00000000-0006-0000-0100-00001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limita el acceso mediante cuentas, roles y permisos.</t>
      </text>
    </comment>
    <comment ref="F13" authorId="15" shapeId="0" xr:uid="{00000000-0006-0000-0100-00000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I13" authorId="16" shapeId="0" xr:uid="{00000000-0006-0000-0100-00001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Falta precisar los permisos por operación y conciliar su descripción con la implementación.</t>
      </text>
    </comment>
    <comment ref="K13" authorId="17" shapeId="0" xr:uid="{00000000-0006-0000-0100-00001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F14" authorId="18" shapeId="0" xr:uid="{00000000-0006-0000-0100-00000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I14" authorId="19" shapeId="0" xr:uid="{00000000-0006-0000-0100-00001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K14" authorId="20" shapeId="0" xr:uid="{00000000-0006-0000-0100-00001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F15" authorId="21" shapeId="0" xr:uid="{00000000-0006-0000-0100-00000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I15" authorId="22" shapeId="0" xr:uid="{00000000-0006-0000-0100-00001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K15" authorId="23" shapeId="0" xr:uid="{00000000-0006-0000-0100-00001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F16" authorId="24" shapeId="0" xr:uid="{00000000-0006-0000-0100-00000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I16" authorId="25" shapeId="0" xr:uid="{00000000-0006-0000-0100-00001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K16" authorId="26" shapeId="0" xr:uid="{00000000-0006-0000-0100-00001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F17" authorId="27" shapeId="0" xr:uid="{00000000-0006-0000-0100-00000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el caso de uso, se incluyen condiciones, resultado, flujos y excepciones.</t>
      </text>
    </comment>
    <comment ref="I17" authorId="28" shapeId="0" xr:uid="{00000000-0006-0000-0100-00001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faltan campos y permisos por operación en la especificación.</t>
      </text>
    </comment>
    <comment ref="K17" authorId="29" shapeId="0" xr:uid="{00000000-0006-0000-0100-00002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completar la tabla normativa de autorizaciones.</t>
      </text>
    </comment>
    <comment ref="F18" authorId="30" shapeId="0" xr:uid="{00000000-0006-0000-0100-00000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  <comment ref="I18" authorId="31" shapeId="0" xr:uid="{00000000-0006-0000-0100-00001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  <comment ref="K18" authorId="32" shapeId="0" xr:uid="{00000000-0006-0000-0100-00002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tc={9B6B149F-C579-4A90-8739-59199191F765}</author>
    <author>tc={095B5F8C-8511-4D5B-A83C-8A3E46136D5A}</author>
    <author>tc={3EDF2EB3-F41E-4DF2-A542-C0596F3501F5}</author>
    <author>tc={275C3812-2E5C-48AA-92B0-67C4AC7EBB13}</author>
    <author>tc={B3226FE3-AA02-43BE-96CB-70A8B1E910AB}</author>
    <author>tc={ED76E5A9-EC9A-43CB-B126-BB012D0607CD}</author>
    <author>tc={D1C63675-B6FC-47C0-AD47-9EFA7CD0DFDA}</author>
    <author>tc={3D7FE058-0338-4EBD-9BAB-BA8F6B77B70F}</author>
    <author>tc={D8011752-315E-4635-94B7-09583919411D}</author>
    <author>tc={2720E899-EC29-492B-828B-352830EE6BD9}</author>
    <author>tc={85F1D37A-0A87-4B0D-918C-37D2442A7A01}</author>
    <author>tc={9407B0F2-493B-41E5-B410-9CAF72554E43}</author>
    <author>tc={6E56B3A4-D77A-46BA-8F66-42C55B62CA15}</author>
    <author>tc={28413569-C41D-4FE9-85E1-8081F4A265F9}</author>
    <author>tc={289DF674-6289-4B11-8317-6435AF3C8AF1}</author>
    <author>tc={EF3037E3-E026-47F5-9456-F14A3FEB681E}</author>
    <author>tc={6A233BFE-9439-468B-AA2D-638A794877E5}</author>
    <author>tc={1A4729E7-87AE-414D-82C7-FFF057EE2BFE}</author>
    <author>tc={F22055AC-E1C9-458F-B574-7BEBFCD04DD4}</author>
    <author>tc={90F049D2-34A7-4590-921E-62505DA034C2}</author>
    <author>tc={A8F81EB3-6494-4089-A614-72C6BE253460}</author>
    <author>tc={2F574581-722B-45A3-A2C1-88C4A2C791D2}</author>
    <author>tc={EDD74AC4-0A32-48E4-9812-A2CA65D1E671}</author>
    <author>tc={FD25A7BB-D9E3-4F38-B60F-BF8DB4AA0848}</author>
    <author>tc={38C5D7BE-996B-459C-BA70-2C3152051419}</author>
    <author>tc={459E2F4B-CB24-4891-86BF-957726C943F3}</author>
    <author>tc={1EEFEC8F-3EEB-4E4E-924F-2614D3459352}</author>
    <author>tc={C2AAEFFB-B3C1-4611-82BD-5A9EDED2D4CD}</author>
    <author>tc={1CA8C7BD-4E83-47EE-A165-5B3DE59A412B}</author>
    <author>tc={C455C7D7-1F0A-480A-BBFC-B7C4341A7E29}</author>
    <author>tc={258EB4E4-20D4-432A-B35C-6F7BF53EA438}</author>
    <author>tc={A7515D82-608B-4C96-AC4E-2EC747877CE5}</author>
    <author>tc={B92F5B22-1132-4A6C-AC73-885C47A8BA29}</author>
    <author>tc={C917151A-92C3-40EF-93F9-0763178BF0FC}</author>
    <author>tc={B9E5D24D-C479-4B29-8B41-E17745A1BE40}</author>
    <author>tc={2A2871A4-35EB-421C-A212-0CDA6A9189AE}</author>
    <author>tc={8A477715-9476-47A9-9E9B-6515C77F761A}</author>
    <author>tc={027BA612-FF37-42C3-B314-00A5E7D3D3CD}</author>
    <author>tc={E99D1854-397E-49B0-9026-28C2D0B5A465}</author>
    <author>tc={6C104EE9-F647-4BDE-ADA5-EF4461481012}</author>
    <author>tc={0B2A523A-9100-4C0D-A9BE-9B50C315503F}</author>
    <author>tc={E5002D62-BC1C-4059-9378-76D97C43E2B7}</author>
    <author>tc={B507B953-001E-4E9C-B0EB-E812258BF2D8}</author>
    <author>tc={39508A67-D8CD-4710-BCFE-6B9C69C2A031}</author>
    <author>tc={5020E990-D20D-4B2C-A2F9-A3BADAAFAFB0}</author>
    <author>tc={20189298-C9B2-494F-9495-260B9BB6B1BC}</author>
    <author>tc={28DB07DF-DED4-4DF9-86F8-AC7D35903F63}</author>
    <author>tc={9EFAEFD6-201E-4867-A3AF-3FE2B474E886}</author>
    <author>tc={95B33D15-77EB-4AE4-A320-C860A1E80A9B}</author>
    <author>tc={84400312-3668-43E5-AE81-C1E9EFF9EA27}</author>
    <author>tc={3169A290-BB0D-4CAB-AF4F-0F28E40BF1E8}</author>
  </authors>
  <commentList>
    <comment ref="B8" authorId="0" shapeId="0" xr:uid="{00000000-0006-0000-02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H8" authorId="1" shapeId="0" xr:uid="{00000000-0006-0000-0200-00001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N8" authorId="2" shapeId="0" xr:uid="{00000000-0006-0000-0200-00002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B9" authorId="3" shapeId="0" xr:uid="{00000000-0006-0000-02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H9" authorId="4" shapeId="0" xr:uid="{00000000-0006-0000-0200-00001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N9" authorId="5" shapeId="0" xr:uid="{00000000-0006-0000-0200-00002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B10" authorId="6" shapeId="0" xr:uid="{00000000-0006-0000-0200-00000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H10" authorId="7" shapeId="0" xr:uid="{00000000-0006-0000-0200-00001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N10" authorId="8" shapeId="0" xr:uid="{00000000-0006-0000-0200-00002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B11" authorId="9" shapeId="0" xr:uid="{00000000-0006-0000-0200-00000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H11" authorId="10" shapeId="0" xr:uid="{00000000-0006-0000-0200-00001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N11" authorId="11" shapeId="0" xr:uid="{00000000-0006-0000-0200-00002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B12" authorId="12" shapeId="0" xr:uid="{00000000-0006-0000-0200-00000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H12" authorId="13" shapeId="0" xr:uid="{00000000-0006-0000-0200-00001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N12" authorId="14" shapeId="0" xr:uid="{00000000-0006-0000-0200-00002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B13" authorId="15" shapeId="0" xr:uid="{00000000-0006-0000-0200-00000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H13" authorId="16" shapeId="0" xr:uid="{00000000-0006-0000-0200-00001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N13" authorId="17" shapeId="0" xr:uid="{00000000-0006-0000-0200-00002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B14" authorId="18" shapeId="0" xr:uid="{00000000-0006-0000-0200-000007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H14" authorId="19" shapeId="0" xr:uid="{00000000-0006-0000-0200-00001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Falta precisar los permisos por operación y conciliar su descripción con la implementación.</t>
      </text>
    </comment>
    <comment ref="N14" authorId="20" shapeId="0" xr:uid="{00000000-0006-0000-0200-00002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B15" authorId="21" shapeId="0" xr:uid="{00000000-0006-0000-0200-000008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H15" authorId="22" shapeId="0" xr:uid="{00000000-0006-0000-0200-00001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N15" authorId="23" shapeId="0" xr:uid="{00000000-0006-0000-0200-00002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B16" authorId="24" shapeId="0" xr:uid="{00000000-0006-0000-0200-000009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H16" authorId="25" shapeId="0" xr:uid="{00000000-0006-0000-0200-00001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N16" authorId="26" shapeId="0" xr:uid="{00000000-0006-0000-0200-00002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B22" authorId="27" shapeId="0" xr:uid="{00000000-0006-0000-0200-00000A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H22" authorId="28" shapeId="0" xr:uid="{00000000-0006-0000-0200-00001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N22" authorId="29" shapeId="0" xr:uid="{00000000-0006-0000-0200-00002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B23" authorId="30" shapeId="0" xr:uid="{00000000-0006-0000-0200-00000B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H23" authorId="31" shapeId="0" xr:uid="{00000000-0006-0000-0200-00001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N23" authorId="32" shapeId="0" xr:uid="{00000000-0006-0000-0200-00002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B24" authorId="33" shapeId="0" xr:uid="{00000000-0006-0000-0200-00000C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H24" authorId="34" shapeId="0" xr:uid="{00000000-0006-0000-0200-00001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N24" authorId="35" shapeId="0" xr:uid="{00000000-0006-0000-0200-00002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B25" authorId="36" shapeId="0" xr:uid="{00000000-0006-0000-0200-00000D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 y los casos de uso, el alcance básico tiene una interpretación clara.</t>
      </text>
    </comment>
    <comment ref="H25" authorId="37" shapeId="0" xr:uid="{00000000-0006-0000-0200-00001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los campos y la autorización de cada operación.</t>
      </text>
    </comment>
    <comment ref="N25" authorId="38" shapeId="0" xr:uid="{00000000-0006-0000-0200-00002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falta precisar la correspondencia entre roles, operaciones, sucursales y plan.</t>
      </text>
    </comment>
    <comment ref="B26" authorId="39" shapeId="0" xr:uid="{00000000-0006-0000-0200-00000E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H26" authorId="40" shapeId="0" xr:uid="{00000000-0006-0000-0200-00001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N26" authorId="41" shapeId="0" xr:uid="{00000000-0006-0000-0200-00003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B32" authorId="42" shapeId="0" xr:uid="{00000000-0006-0000-0200-00000F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H32" authorId="43" shapeId="0" xr:uid="{00000000-0006-0000-0200-00002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N32" authorId="44" shapeId="0" xr:uid="{00000000-0006-0000-0200-00003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B33" authorId="45" shapeId="0" xr:uid="{00000000-0006-0000-0200-000010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H33" authorId="46" shapeId="0" xr:uid="{00000000-0006-0000-0200-00002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N33" authorId="47" shapeId="0" xr:uid="{00000000-0006-0000-0200-00003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B34" authorId="48" shapeId="0" xr:uid="{00000000-0006-0000-0200-00001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  <comment ref="H34" authorId="49" shapeId="0" xr:uid="{00000000-0006-0000-0200-00002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  <comment ref="N34" authorId="50" shapeId="0" xr:uid="{00000000-0006-0000-0200-00003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tc={D0CDBC48-B4DE-411B-B12C-9D98A3574F3E}</author>
    <author>tc={98CB3EE6-C74A-466C-A8A8-77B7BBA63660}</author>
    <author>tc={E04E7683-7562-4498-9053-E6921691CBF0}</author>
    <author>tc={36EE27D1-BE93-4FC6-9C59-48910F5EAA3A}</author>
    <author>tc={AF4131D2-0C19-44D3-BAF6-33035840D627}</author>
    <author>tc={80DAF2C7-9DAB-4077-9F37-72C9A6623ED0}</author>
  </authors>
  <commentList>
    <comment ref="A3" authorId="0" shapeId="0" xr:uid="{00000000-0006-0000-03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4" authorId="1" shapeId="0" xr:uid="{00000000-0006-0000-03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  <comment ref="A11" authorId="2" shapeId="0" xr:uid="{00000000-0006-0000-0300-000003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12" authorId="3" shapeId="0" xr:uid="{00000000-0006-0000-0300-000004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  <comment ref="A19" authorId="4" shapeId="0" xr:uid="{00000000-0006-0000-0300-000005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20" authorId="5" shapeId="0" xr:uid="{00000000-0006-0000-0300-000006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</commentList>
</comments>
</file>

<file path=xl/sharedStrings.xml><?xml version="1.0" encoding="utf-8"?>
<sst xmlns="http://schemas.openxmlformats.org/spreadsheetml/2006/main" count="350" uniqueCount="105">
  <si>
    <t>MATRIZ PARA COMPROBACIÓN REQUERIMIENTOS DE CALIDAD DE PROYECTO ACADEMICO</t>
  </si>
  <si>
    <t>SISTEMA:</t>
  </si>
  <si>
    <t>SISTEMA DE GESTION DE CRIANZA DE CONEJOS (Hoptolt)</t>
  </si>
  <si>
    <t>Requerimientos  Funcionales</t>
  </si>
  <si>
    <t>Nº</t>
  </si>
  <si>
    <t>CRITERIOS DE CALIDAD (Documento/Requerimientos)</t>
  </si>
  <si>
    <t>Status
Nivel de Acuerdo</t>
  </si>
  <si>
    <t xml:space="preserve">
CU001.3 Gestionar Datos de conejos
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</si>
  <si>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</si>
  <si>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</si>
  <si>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</si>
  <si>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</si>
  <si>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</si>
  <si>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</si>
  <si>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</si>
  <si>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</si>
  <si>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</si>
  <si>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</si>
  <si>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</si>
  <si>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</si>
  <si>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</si>
  <si>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</si>
  <si>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NOK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</si>
  <si>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</si>
  <si>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</si>
  <si>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</si>
  <si>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</si>
  <si>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</si>
  <si>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</si>
  <si>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</si>
  <si>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</si>
  <si>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</si>
  <si>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FECHA:</t>
  </si>
  <si>
    <t>AUTOR:</t>
  </si>
  <si>
    <t>REQUERIMIENTOS EVALUADOS :</t>
  </si>
  <si>
    <t>CONTENIDO</t>
  </si>
  <si>
    <t>No.</t>
  </si>
  <si>
    <t>Pregunta</t>
  </si>
  <si>
    <t>SI</t>
  </si>
  <si>
    <t xml:space="preserve">NO </t>
  </si>
  <si>
    <t>X</t>
  </si>
  <si>
    <t>SUMATORIA:</t>
  </si>
  <si>
    <t>PORCENTAJE :</t>
  </si>
  <si>
    <t>DOCUMENTACIÓN</t>
  </si>
  <si>
    <t>NIVEL DE ACUERDO</t>
  </si>
  <si>
    <t>RESUMEN</t>
  </si>
  <si>
    <t xml:space="preserve">CONTENIDO </t>
  </si>
  <si>
    <t>PREGUNTA</t>
  </si>
  <si>
    <t>RECOMENDACIÓN</t>
  </si>
  <si>
    <t>RF-01 Autenticar usuarios y gestionar sesiones</t>
  </si>
  <si>
    <t>RF-02 Administrar clínica y sucursales</t>
  </si>
  <si>
    <t>RF-03 Gestionar usuarios, roles y permisos</t>
  </si>
  <si>
    <t>Importancia Alta en SRS 3.2.1. Responsable y alcance identificados.</t>
  </si>
  <si>
    <t>Importancia Alta en SRS 3.2.2. Responsable y alcance identificados.</t>
  </si>
  <si>
    <t>Importancia Alta en SRS 3.2.3. Responsable y alcance identificados.</t>
  </si>
  <si>
    <t>Credenciales, sesión y cierre definidos en SRS y CU-01.</t>
  </si>
  <si>
    <t>Precisar campos y permisos por operación; SRS/CU-02 usa datos y usuarios autorizados.</t>
  </si>
  <si>
    <t>Falta tabla normativa de roles, operaciones, sedes y plan. Distinguir propietarios y administración central.</t>
  </si>
  <si>
    <t>Controlar el acceso individual y proteger los módulos y datos de la clínica.</t>
  </si>
  <si>
    <t>Mantener la clínica y sus sedes como contexto de agenda, documentos y facturación, con aislamiento entre clínicas.</t>
  </si>
  <si>
    <t>Asignar cuentas individuales, roles, permisos y sedes para limitar cada función a la persona autorizada.</t>
  </si>
  <si>
    <t>SRS, CU-01 y sus HU describen la misma función. Aplican sesión, clínica y permisos.</t>
  </si>
  <si>
    <t>SRS/CU-02 no detalla diferencias de autorización entre crear/editar y eliminar sedes.</t>
  </si>
  <si>
    <t>SRS, CU-03 y sus HU describen la misma función. Aplican sesión, clínica y permisos.</t>
  </si>
  <si>
    <t>Criterios observables: acceso válido, denegación sin sesión y salida. Faltan casos ejecutados.</t>
  </si>
  <si>
    <t>SRS y HU tienen criterios observables. Faltan casos formales y evidencia de ejecución.</t>
  </si>
  <si>
    <t>Login, logout y middleware están implementados. Validación por lectura de código.</t>
  </si>
  <si>
    <t>Clínica y sucursales implementadas en tenant.ts/branches.ts; dependen de permisos y plan.</t>
  </si>
  <si>
    <t>Invitación, edición, sedes y permisos implementados; validar según rol y plan.</t>
  </si>
  <si>
    <t>RF-01 → CU-01 → HU-001, HU-002 y HU-042. Falta fuente original por RF y vínculo a pruebas.</t>
  </si>
  <si>
    <t>RF-02 → CU-02 → HU-003, HU-004 y HU-042. Falta fuente original por RF y vínculo a pruebas.</t>
  </si>
  <si>
    <t>RF-03 → CU-03 → HU-005, HU-006 y HU-042. Falta fuente original por RF y vínculo a pruebas.</t>
  </si>
  <si>
    <t>SRS y CU-01 incluyen descripción, precondiciones, resultado, flujo y excepciones.</t>
  </si>
  <si>
    <t>Falta especificar campos y autorización por operación en la línea base.</t>
  </si>
  <si>
    <t>Falta incorporar la tabla completa de autorizaciones y su correspondencia con roles.</t>
  </si>
  <si>
    <t>Redacción del dominio odontológico, fichas CU y glosario del SRS 1.4.</t>
  </si>
  <si>
    <t>Arroyo Alfonso, Chuqui Kerly y Frías Pedro</t>
  </si>
  <si>
    <t>¿Todos los requerimientos relevantes se han documentado?</t>
  </si>
  <si>
    <t>¿Se han implementado las funciones requeridas?</t>
  </si>
  <si>
    <t>¿Existe un mecanismo para seguir el impacto del requisito a lo largo del ciclo de desarrollo?</t>
  </si>
  <si>
    <t>¿El origen de cada requerimiento individual está claro?</t>
  </si>
  <si>
    <t>¿Es fácil regresar al requerimiento desde los artefactos relacionados?</t>
  </si>
  <si>
    <t>¿Los requerimientos reflejan las necesidades y deseos del cliente?</t>
  </si>
  <si>
    <t>¿No hay contradicciones entre los requerimientos?</t>
  </si>
  <si>
    <t>¿El requerimiento contribuye a alcanzar un objetivo definido?</t>
  </si>
  <si>
    <t>¿Existe un proceso acotado en plazo y presupuesto para comprobar que el sistema satisface el requisito?</t>
  </si>
  <si>
    <t>¿Se aplica un estándar para documentar el requerimiento?</t>
  </si>
  <si>
    <t>¿Se cumple la estructura definida por el estándar?</t>
  </si>
  <si>
    <t>¿Se utiliza un glosario de términos normalizado?</t>
  </si>
  <si>
    <t>¿El requisito funcional está sujeto a una única interpretación?</t>
  </si>
  <si>
    <t>¿El modelo aplicado cumple con su sintaxis?</t>
  </si>
  <si>
    <t>¿Todos los requerimientos han sido acordados con todos los interesados?</t>
  </si>
  <si>
    <t>¿Todos los requerimientos modificados han sido acordados por todos los implicados?</t>
  </si>
  <si>
    <t>¿Se han resuelto todos los conflictos conocidos sobre los requerimientos?</t>
  </si>
  <si>
    <t>¿Se han validado y aprobado formalmente todos los entregables de la entrevista (videoconferencia, minuta y acta de aceptación)?</t>
  </si>
  <si>
    <t>¿Se han definido criterios de aceptación y casos de prueba que permitan medir objetivamente el cumplimiento del requisito?</t>
  </si>
  <si>
    <t>Existen criterios en el SRS y las HU. Formalizar casos CP vinculados a RF-01/CU-01, con precondiciones, datos, pasos, resultado esperado, resultado real y evidencia. Credenciales válidas abren el panel; credenciales inválidas y solicitudes sin sesión no muestran datos internos; cerrar sesión impide volver a rutas protegidas. Asignar responsable, plazo y presupuesto de validación. Registrar la aprobación y el resultado en la trazabilidad.</t>
  </si>
  <si>
    <t>Existen criterios en el SRS y las HU. Formalizar casos CP vinculados a RF-02/CU-02, con precondiciones, datos, pasos, resultado esperado, resultado real y evidencia. Actualizar clínica y reabrir para comprobar persistencia; crear y editar sede; rechazar datos inválidos, acceso de otra clínica y exceso del límite del plan; probar ambos roles de propietario. Asignar responsable, plazo y presupuesto de validación. Registrar la aprobación y el resultado en la trazabilidad.</t>
  </si>
  <si>
    <t>Existen criterios en el SRS y las HU. Formalizar casos CP vinculados a RF-03/CU-03, con precondiciones, datos, pasos, resultado esperado, resultado real y evidencia. Invitar correo válido; rechazar correo inválido y rol no permitido; editar rol y sede; cambiar permisos y verificar que interfaz y servidor permiten o bloquean la siguiente solicitud; impedir cambios en otra clínica. Asignar responsable, plazo y presupuesto de validación. Registrar la aprobación y el resultado en la trazabilidad.</t>
  </si>
  <si>
    <t>Sistema odontológico AlaSynk</t>
  </si>
  <si>
    <t>El cliente acordó y aprobó el requisito, según confirma el equipo. Falta evidencia documental de esos acuerdos.</t>
  </si>
  <si>
    <t>El equipo confirma los acuerdos y cambios. Falta registrar las decisiones y mantener el respaldo de la revisión.</t>
  </si>
  <si>
    <t>Ratificar por escrito la aprobación ya realizada de RF-01.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</si>
  <si>
    <t>Ratificar por escrito la aprobación ya realizada de RF-02.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</si>
  <si>
    <t>Ratificar por escrito la aprobación ya realizada de RF-03.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</si>
</sst>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rgb="FF000000"/>
      <name val="Calibri"/>
    </font>
    <font>
      <b/>
      <sz val="11"/>
      <color theme="0"/>
      <name val="Calibri"/>
    </font>
    <font>
      <sz val="11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EAF1DD"/>
        <bgColor rgb="FFEAF1DD"/>
      </patternFill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  <fill>
      <patternFill patternType="solid">
        <fgColor rgb="FFC2D69B"/>
        <bgColor rgb="FFC2D69B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8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top"/>
    </xf>
    <xf numFmtId="0" fontId="8" fillId="0" borderId="0" xfId="0" applyFont="1" applyAlignment="1">
      <alignment vertical="top"/>
    </xf>
    <xf numFmtId="0" fontId="12" fillId="0" borderId="7" xfId="0" applyFont="1" applyBorder="1"/>
    <xf numFmtId="0" fontId="13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2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wrapText="1"/>
    </xf>
    <xf numFmtId="0" fontId="8" fillId="6" borderId="3" xfId="0" applyFont="1" applyFill="1" applyBorder="1" applyAlignment="1">
      <alignment horizontal="center"/>
    </xf>
    <xf numFmtId="0" fontId="8" fillId="6" borderId="7" xfId="0" applyFont="1" applyFill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wrapText="1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9" fontId="8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8" borderId="10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7" xfId="0" applyFont="1" applyFill="1" applyBorder="1" applyAlignment="1">
      <alignment wrapText="1"/>
    </xf>
    <xf numFmtId="0" fontId="8" fillId="9" borderId="6" xfId="0" applyFont="1" applyFill="1" applyBorder="1" applyAlignment="1">
      <alignment horizontal="center"/>
    </xf>
    <xf numFmtId="0" fontId="8" fillId="9" borderId="4" xfId="0" applyFont="1" applyFill="1" applyBorder="1" applyAlignment="1">
      <alignment wrapText="1"/>
    </xf>
    <xf numFmtId="0" fontId="12" fillId="10" borderId="10" xfId="0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7" xfId="0" applyFont="1" applyFill="1" applyBorder="1" applyAlignment="1">
      <alignment wrapText="1"/>
    </xf>
    <xf numFmtId="0" fontId="8" fillId="11" borderId="6" xfId="0" applyFont="1" applyFill="1" applyBorder="1" applyAlignment="1">
      <alignment horizontal="center"/>
    </xf>
    <xf numFmtId="0" fontId="8" fillId="11" borderId="4" xfId="0" applyFont="1" applyFill="1" applyBorder="1" applyAlignment="1">
      <alignment wrapText="1"/>
    </xf>
    <xf numFmtId="0" fontId="16" fillId="1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10" fontId="8" fillId="0" borderId="0" xfId="0" applyNumberFormat="1" applyFont="1"/>
    <xf numFmtId="0" fontId="8" fillId="15" borderId="1" xfId="0" applyFont="1" applyFill="1" applyBorder="1"/>
    <xf numFmtId="0" fontId="8" fillId="16" borderId="1" xfId="0" applyFont="1" applyFill="1" applyBorder="1"/>
    <xf numFmtId="0" fontId="8" fillId="15" borderId="7" xfId="0" applyFont="1" applyFill="1" applyBorder="1" applyAlignment="1">
      <alignment horizontal="center" vertical="center"/>
    </xf>
    <xf numFmtId="0" fontId="8" fillId="15" borderId="4" xfId="0" applyFont="1" applyFill="1" applyBorder="1"/>
    <xf numFmtId="0" fontId="8" fillId="15" borderId="5" xfId="0" applyFont="1" applyFill="1" applyBorder="1"/>
    <xf numFmtId="10" fontId="8" fillId="0" borderId="0" xfId="0" applyNumberFormat="1" applyFont="1" applyAlignment="1">
      <alignment horizontal="right"/>
    </xf>
    <xf numFmtId="0" fontId="10" fillId="17" borderId="7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/>
    </xf>
    <xf numFmtId="0" fontId="0" fillId="0" borderId="0" xfId="0"/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14" fillId="0" borderId="16" xfId="0" applyFont="1" applyBorder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2" fillId="0" borderId="1" xfId="0" applyFont="1" applyBorder="1"/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vertical="top" wrapText="1"/>
    </xf>
    <xf numFmtId="14" fontId="13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31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C7CE"/>
          <bgColor indexed="6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indexed="64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318"/>
      <tableStyleElement type="firstRowStripe" dxfId="317"/>
      <tableStyleElement type="secondRowStripe" dxfId="316"/>
    </tableStyle>
    <tableStyle name="MODELO LISTA DE COMPROBACION - -style 2" pivot="0" count="3" xr9:uid="{00000000-0011-0000-FFFF-FFFF01000000}">
      <tableStyleElement type="headerRow" dxfId="315"/>
      <tableStyleElement type="firstRowStripe" dxfId="314"/>
      <tableStyleElement type="secondRowStripe" dxfId="313"/>
    </tableStyle>
    <tableStyle name="MODELO LISTA DE COMPROBACION - -style 3" pivot="0" count="3" xr9:uid="{00000000-0011-0000-FFFF-FFFF02000000}">
      <tableStyleElement type="headerRow" dxfId="312"/>
      <tableStyleElement type="firstRowStripe" dxfId="311"/>
      <tableStyleElement type="secondRowStripe" dxfId="310"/>
    </tableStyle>
    <tableStyle name="MODELO LISTA DE COMPROBACION - -style 4" pivot="0" count="3" xr9:uid="{00000000-0011-0000-FFFF-FFFF03000000}">
      <tableStyleElement type="headerRow" dxfId="309"/>
      <tableStyleElement type="firstRowStripe" dxfId="308"/>
      <tableStyleElement type="secondRowStripe" dxfId="307"/>
    </tableStyle>
    <tableStyle name="MODELO LISTA DE COMPROBACION - -style 5" pivot="0" count="3" xr9:uid="{00000000-0011-0000-FFFF-FFFF04000000}">
      <tableStyleElement type="headerRow" dxfId="306"/>
      <tableStyleElement type="firstRowStripe" dxfId="305"/>
      <tableStyleElement type="secondRowStripe" dxfId="304"/>
    </tableStyle>
    <tableStyle name="MODELO LISTA DE COMPROBACION - -style 6" pivot="0" count="3" xr9:uid="{00000000-0011-0000-FFFF-FFFF05000000}">
      <tableStyleElement type="headerRow" dxfId="303"/>
      <tableStyleElement type="firstRowStripe" dxfId="302"/>
      <tableStyleElement type="secondRowStripe" dxfId="301"/>
    </tableStyle>
    <tableStyle name="MODELO LISTA DE COMPROBACION - -style 7" pivot="0" count="3" xr9:uid="{00000000-0011-0000-FFFF-FFFF06000000}">
      <tableStyleElement type="headerRow" dxfId="300"/>
      <tableStyleElement type="firstRowStripe" dxfId="299"/>
      <tableStyleElement type="secondRowStripe" dxfId="298"/>
    </tableStyle>
    <tableStyle name="MODELO LISTA DE COMPROBACION - -style 8" pivot="0" count="3" xr9:uid="{00000000-0011-0000-FFFF-FFFF07000000}">
      <tableStyleElement type="headerRow" dxfId="297"/>
      <tableStyleElement type="firstRowStripe" dxfId="296"/>
      <tableStyleElement type="secondRowStripe" dxfId="295"/>
    </tableStyle>
    <tableStyle name="MODELO LISTA DE COMPROBACION - -style 9" pivot="0" count="3" xr9:uid="{00000000-0011-0000-FFFF-FFFF08000000}">
      <tableStyleElement type="headerRow" dxfId="294"/>
      <tableStyleElement type="firstRowStripe" dxfId="293"/>
      <tableStyleElement type="secondRowStripe" dxfId="29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S" b="1" i="0">
                <a:solidFill>
                  <a:srgbClr val="757575"/>
                </a:solidFill>
                <a:latin typeface="+mn-lt"/>
              </a:rPr>
              <a:t>CRITERIOS DE CALIDAD - RF-01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80E-4C3E-8AB0-5FC2F5F6890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80E-4C3E-8AB0-5FC2F5F6890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80E-4C3E-8AB0-5FC2F5F68903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0.00%</c:formatCode>
                <c:ptCount val="3"/>
                <c:pt idx="0">
                  <c:v>0.77777777777777779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0E-4C3E-8AB0-5FC2F5F689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s-ES" b="1">
                <a:solidFill>
                  <a:srgbClr val="757575"/>
                </a:solidFill>
                <a:latin typeface="+mn-lt"/>
              </a:rPr>
              <a:t>CRITERIOS DE CALIDAD - RF-03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'MODELO LISTA DE COMPROBACION - '!$O$40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5C45-4643-8AC9-300C1601B4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5C45-4643-8AC9-300C1601B4F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5C45-4643-8AC9-300C1601B4FE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'!$N$41:$N$43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'!$O$41:$O$43</c:f>
              <c:numCache>
                <c:formatCode>0.00%</c:formatCode>
                <c:ptCount val="3"/>
                <c:pt idx="0">
                  <c:v>0.77777777777777779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5-4643-8AC9-300C1601B4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lang="es-ES" b="1">
                <a:solidFill>
                  <a:srgbClr val="666666"/>
                </a:solidFill>
                <a:latin typeface="+mn-lt"/>
              </a:rPr>
              <a:t>CRITERIOS DE CALIDAD - RF-02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'MODELO LISTA DE COMPROBACION - '!$I$40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B36-474A-8FE8-1AAE7FA5188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B36-474A-8FE8-1AAE7FA5188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B36-474A-8FE8-1AAE7FA51885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'!$H$41:$H$43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'!$I$41:$I$43</c:f>
              <c:numCache>
                <c:formatCode>0.00%</c:formatCode>
                <c:ptCount val="3"/>
                <c:pt idx="0">
                  <c:v>0.66666666666666663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36-474A-8FE8-1AAE7FA51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76200</xdr:colOff>
      <xdr:row>13</xdr:row>
      <xdr:rowOff>228600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6108C9D2-E6EB-DC78-F912-D041E1081A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76200</xdr:colOff>
      <xdr:row>13</xdr:row>
      <xdr:rowOff>228600</xdr:rowOff>
    </xdr:to>
    <xdr:sp macro="" textlink="">
      <xdr:nvSpPr>
        <xdr:cNvPr id="2" name="AutoShape 34">
          <a:extLst>
            <a:ext uri="{FF2B5EF4-FFF2-40B4-BE49-F238E27FC236}">
              <a16:creationId xmlns:a16="http://schemas.microsoft.com/office/drawing/2014/main" id="{C122097E-38E8-7552-8B3A-C396084435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43</xdr:row>
      <xdr:rowOff>180975</xdr:rowOff>
    </xdr:from>
    <xdr:ext cx="4937760" cy="2371725"/>
    <xdr:graphicFrame macro="">
      <xdr:nvGraphicFramePr>
        <xdr:cNvPr id="1052454387" name="Chart 1" title="Gráfico">
          <a:extLst>
            <a:ext uri="{FF2B5EF4-FFF2-40B4-BE49-F238E27FC236}">
              <a16:creationId xmlns:a16="http://schemas.microsoft.com/office/drawing/2014/main" id="{00000000-0008-0000-0200-0000F32D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523875</xdr:colOff>
      <xdr:row>43</xdr:row>
      <xdr:rowOff>180975</xdr:rowOff>
    </xdr:from>
    <xdr:ext cx="4742688" cy="2371725"/>
    <xdr:graphicFrame macro="">
      <xdr:nvGraphicFramePr>
        <xdr:cNvPr id="1653486213" name="Chart 2" title="Gráfico">
          <a:extLst>
            <a:ext uri="{FF2B5EF4-FFF2-40B4-BE49-F238E27FC236}">
              <a16:creationId xmlns:a16="http://schemas.microsoft.com/office/drawing/2014/main" id="{00000000-0008-0000-0200-000085328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371475</xdr:colOff>
      <xdr:row>43</xdr:row>
      <xdr:rowOff>180975</xdr:rowOff>
    </xdr:from>
    <xdr:ext cx="4937760" cy="2371725"/>
    <xdr:graphicFrame macro="">
      <xdr:nvGraphicFramePr>
        <xdr:cNvPr id="1519195175" name="Chart 3" title="Gráfico">
          <a:extLst>
            <a:ext uri="{FF2B5EF4-FFF2-40B4-BE49-F238E27FC236}">
              <a16:creationId xmlns:a16="http://schemas.microsoft.com/office/drawing/2014/main" id="{00000000-0008-0000-0200-00002714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0</xdr:col>
      <xdr:colOff>0</xdr:colOff>
      <xdr:row>0</xdr:row>
      <xdr:rowOff>0</xdr:rowOff>
    </xdr:from>
    <xdr:to>
      <xdr:col>7</xdr:col>
      <xdr:colOff>312420</xdr:colOff>
      <xdr:row>22</xdr:row>
      <xdr:rowOff>137160</xdr:rowOff>
    </xdr:to>
    <xdr:sp macro="" textlink="">
      <xdr:nvSpPr>
        <xdr:cNvPr id="3124" name="Text Box 52" hidden="1">
          <a:extLst>
            <a:ext uri="{FF2B5EF4-FFF2-40B4-BE49-F238E27FC236}">
              <a16:creationId xmlns:a16="http://schemas.microsoft.com/office/drawing/2014/main" id="{06AB3DF2-31CE-69B5-5724-37EFE47DD6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312420</xdr:colOff>
      <xdr:row>22</xdr:row>
      <xdr:rowOff>137160</xdr:rowOff>
    </xdr:to>
    <xdr:sp macro="" textlink="">
      <xdr:nvSpPr>
        <xdr:cNvPr id="2" name="AutoShape 52">
          <a:extLst>
            <a:ext uri="{FF2B5EF4-FFF2-40B4-BE49-F238E27FC236}">
              <a16:creationId xmlns:a16="http://schemas.microsoft.com/office/drawing/2014/main" id="{DC6BE00D-4EB6-9797-8DF4-099B2D6583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45720</xdr:colOff>
      <xdr:row>11</xdr:row>
      <xdr:rowOff>472440</xdr:rowOff>
    </xdr:to>
    <xdr:sp macro="" textlink="">
      <xdr:nvSpPr>
        <xdr:cNvPr id="4103" name="Text Box 7" hidden="1">
          <a:extLst>
            <a:ext uri="{FF2B5EF4-FFF2-40B4-BE49-F238E27FC236}">
              <a16:creationId xmlns:a16="http://schemas.microsoft.com/office/drawing/2014/main" id="{BFDE66C6-41AD-EA7D-8596-E5B8113F1B7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45720</xdr:colOff>
      <xdr:row>11</xdr:row>
      <xdr:rowOff>472440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80BCEEAF-D4FA-2BD1-36A8-BDB2DD259B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fonso Arroyo" id="{39CB0087-2C43-4E75-A968-0C40CB3FD45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7:J1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M7:P16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1:D2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MODELO LISTA DE COMPROBACION -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G21:J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MODELO LISTA DE COMPROBACION - 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M21:P26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MODELO LISTA DE COMPROBACION -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1:D34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LISTA DE COMPROBACION -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31:J34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LISTA DE COMPROBACION -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M31:P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LISTA DE COMPROBACION - 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6-10-04T21:21:34.35" personId="{39CB0087-2C43-4E75-A968-0C40CB3FD451}" id="{87EA9A0C-BE70-4902-B79E-4ED52DE104BE}">
    <text>Acuerdo y aprobación del cliente confirmados por el equipo. Falta evidencia documental.</text>
  </threadedComment>
  <threadedComment ref="I8" dT="2026-10-04T21:21:34.35" personId="{39CB0087-2C43-4E75-A968-0C40CB3FD451}" id="{858E59DE-254E-4980-9983-69D1E9DC7E42}">
    <text>Acuerdo y aprobación del cliente confirmados por el equipo. Falta evidencia documental.</text>
  </threadedComment>
  <threadedComment ref="K8" dT="2026-10-04T21:21:34.35" personId="{39CB0087-2C43-4E75-A968-0C40CB3FD451}" id="{F1C3ACE2-1966-471F-A072-F92BFA3BC91F}">
    <text>Acuerdo y aprobación del cliente confirmados por el equipo. Falta evidencia documental.</text>
  </threadedComment>
  <threadedComment ref="F9" dT="2026-10-04T21:21:34.35" personId="{39CB0087-2C43-4E75-A968-0C40CB3FD451}" id="{A64C5EB9-F707-4C14-8045-597144A36AD3}">
    <text>Según el SRS, el requisito tiene importancia alta.</text>
  </threadedComment>
  <threadedComment ref="I9" dT="2026-10-04T21:21:34.35" personId="{39CB0087-2C43-4E75-A968-0C40CB3FD451}" id="{0FEC8AB7-8992-41EF-90BF-57C06EBBBC4F}">
    <text>Según el SRS, el requisito tiene importancia alta.</text>
  </threadedComment>
  <threadedComment ref="K9" dT="2026-10-04T21:21:34.35" personId="{39CB0087-2C43-4E75-A968-0C40CB3FD451}" id="{D4A3C0CF-2178-45AD-BD56-29C729DCD319}">
    <text>Según el SRS, el requisito tiene importancia alta.</text>
  </threadedComment>
  <threadedComment ref="F10" dT="2026-10-04T21:21:34.35" personId="{39CB0087-2C43-4E75-A968-0C40CB3FD451}" id="{8AB51025-122E-4C29-A1D6-A3C5622DC06C}">
    <text>Según el SRS, están definidos el ingreso por credenciales, la sesión y su cierre.</text>
  </threadedComment>
  <threadedComment ref="I10" dT="2026-10-04T21:21:34.35" personId="{39CB0087-2C43-4E75-A968-0C40CB3FD451}" id="{F743BB94-03B9-4203-9AFA-9D0C497A7E5C}">
    <text>Según el SRS, falta precisar los campos y la autorización de cada operación.</text>
  </threadedComment>
  <threadedComment ref="K10" dT="2026-10-04T21:21:34.35" personId="{39CB0087-2C43-4E75-A968-0C40CB3FD451}" id="{FD52D26D-4555-46C0-818B-6938485845B9}">
    <text>Según el SRS, falta precisar la correspondencia entre roles, operaciones, sucursales y plan.</text>
  </threadedComment>
  <threadedComment ref="F11" dT="2026-10-04T21:21:34.35" personId="{39CB0087-2C43-4E75-A968-0C40CB3FD451}" id="{8F934731-EE68-4BDE-94F7-62F6F8CA0666}">
    <text>El equipo confirma los cambios. Falta documentar las decisiones y el historial de revisión.</text>
  </threadedComment>
  <threadedComment ref="I11" dT="2026-10-04T21:21:34.35" personId="{39CB0087-2C43-4E75-A968-0C40CB3FD451}" id="{4922CFC8-6F03-4EEE-9A97-7B68573FF87B}">
    <text>El equipo confirma los cambios. Falta documentar las decisiones y el historial de revisión.</text>
  </threadedComment>
  <threadedComment ref="K11" dT="2026-10-04T21:21:34.35" personId="{39CB0087-2C43-4E75-A968-0C40CB3FD451}" id="{4E45C812-46CE-4683-87C6-DE123A05278E}">
    <text>El equipo confirma los cambios. Falta documentar las decisiones y el historial de revisión.</text>
  </threadedComment>
  <threadedComment ref="F12" dT="2026-10-04T21:21:34.35" personId="{39CB0087-2C43-4E75-A968-0C40CB3FD451}" id="{58431589-DAC5-4B2C-8417-652580952107}">
    <text>Según el SRS, protege el acceso individual a los módulos y datos.</text>
  </threadedComment>
  <threadedComment ref="I12" dT="2026-10-04T21:21:34.35" personId="{39CB0087-2C43-4E75-A968-0C40CB3FD451}" id="{B18514A5-BDE8-4DC1-A3E4-83619C3AC161}">
    <text>Según el SRS, organiza clínica y sucursales para los módulos autorizados.</text>
  </threadedComment>
  <threadedComment ref="K12" dT="2026-10-04T21:21:34.35" personId="{39CB0087-2C43-4E75-A968-0C40CB3FD451}" id="{4FCF3A98-55BF-46D5-9E3F-AC3A91438014}">
    <text>Según el SRS, limita el acceso mediante cuentas, roles y permisos.</text>
  </threadedComment>
  <threadedComment ref="F13" dT="2026-10-04T21:21:34.35" personId="{39CB0087-2C43-4E75-A968-0C40CB3FD451}" id="{9319B64C-C589-44E5-919E-E179BBB4EA70}">
    <text>Según el SRS y los casos de uso, no se detectaron contradicciones en el alcance revisado.</text>
  </threadedComment>
  <threadedComment ref="I13" dT="2026-10-04T21:21:34.35" personId="{39CB0087-2C43-4E75-A968-0C40CB3FD451}" id="{C9761A28-099D-430E-B168-13AF17DDD582}">
    <text>Falta precisar los permisos por operación y conciliar su descripción con la implementación.</text>
  </threadedComment>
  <threadedComment ref="K13" dT="2026-10-04T21:21:34.35" personId="{39CB0087-2C43-4E75-A968-0C40CB3FD451}" id="{1F295A7C-4AF6-426D-8AC2-53BA0E110725}">
    <text>Según el SRS y los casos de uso, no se detectaron contradicciones en el alcance revisado.</text>
  </threadedComment>
  <threadedComment ref="F14" dT="2026-10-04T21:21:34.35" personId="{39CB0087-2C43-4E75-A968-0C40CB3FD451}" id="{8B4E10C3-9FE0-4D40-B03A-E16E624A1465}">
    <text>Según el SRS y las historias, hay criterios observables. Faltan pruebas formales ejecutadas.</text>
  </threadedComment>
  <threadedComment ref="I14" dT="2026-10-04T21:21:34.35" personId="{39CB0087-2C43-4E75-A968-0C40CB3FD451}" id="{7A07C8FB-3CEC-4655-BC53-A159E6B1A268}">
    <text>Según el SRS y las historias, hay criterios observables. Faltan pruebas formales ejecutadas.</text>
  </threadedComment>
  <threadedComment ref="K14" dT="2026-10-04T21:21:34.35" personId="{39CB0087-2C43-4E75-A968-0C40CB3FD451}" id="{CAEC4035-A8F3-4A12-9B07-18D1A0E8BE64}">
    <text>Según el SRS y las historias, hay criterios observables. Faltan pruebas formales ejecutadas.</text>
  </threadedComment>
  <threadedComment ref="F15" dT="2026-10-04T21:21:34.35" personId="{39CB0087-2C43-4E75-A968-0C40CB3FD451}" id="{C766D5A4-A87F-44F6-943F-3FA9F7D5826B}">
    <text>Según el código, la función está implementada. No se verificó su funcionamiento en producción.</text>
  </threadedComment>
  <threadedComment ref="I15" dT="2026-10-04T21:21:34.35" personId="{39CB0087-2C43-4E75-A968-0C40CB3FD451}" id="{6640246A-2EA0-42C0-A154-310A34CD9502}">
    <text>Según el código, la función está implementada. No se verificó su funcionamiento en producción.</text>
  </threadedComment>
  <threadedComment ref="K15" dT="2026-10-04T21:21:34.35" personId="{39CB0087-2C43-4E75-A968-0C40CB3FD451}" id="{B2A06BB4-081C-401E-A602-2B65BA9930BB}">
    <text>Según el código, la función está implementada. No se verificó su funcionamiento en producción.</text>
  </threadedComment>
  <threadedComment ref="F16" dT="2026-10-04T21:21:34.35" personId="{39CB0087-2C43-4E75-A968-0C40CB3FD451}" id="{56C251BA-E4CB-42E1-AE5E-2E0B8BF35DBF}">
    <text>Según la matriz actual, existen vínculos entre requisitos, casos e historias. Falta el origen individual y las pruebas.</text>
  </threadedComment>
  <threadedComment ref="I16" dT="2026-10-04T21:21:34.35" personId="{39CB0087-2C43-4E75-A968-0C40CB3FD451}" id="{865FB0A9-A1A4-49B7-B055-3FAAC5802121}">
    <text>Según la matriz actual, existen vínculos entre requisitos, casos e historias. Falta el origen individual y las pruebas.</text>
  </threadedComment>
  <threadedComment ref="K16" dT="2026-10-04T21:21:34.35" personId="{39CB0087-2C43-4E75-A968-0C40CB3FD451}" id="{F775DB98-5555-4B97-AF7C-A57A1750DE95}">
    <text>Según la matriz actual, existen vínculos entre requisitos, casos e historias. Falta el origen individual y las pruebas.</text>
  </threadedComment>
  <threadedComment ref="F17" dT="2026-10-04T21:21:34.35" personId="{39CB0087-2C43-4E75-A968-0C40CB3FD451}" id="{5153B3EF-9E65-4829-8A03-B046D02C93D3}">
    <text>Según el SRS y el caso de uso, se incluyen condiciones, resultado, flujos y excepciones.</text>
  </threadedComment>
  <threadedComment ref="I17" dT="2026-10-04T21:21:34.35" personId="{39CB0087-2C43-4E75-A968-0C40CB3FD451}" id="{B2949BD8-C041-48BD-A8AD-8AA17D6FB3D6}">
    <text>Según el SRS, faltan campos y permisos por operación en la especificación.</text>
  </threadedComment>
  <threadedComment ref="K17" dT="2026-10-04T21:21:34.35" personId="{39CB0087-2C43-4E75-A968-0C40CB3FD451}" id="{0A33BA45-7002-4F18-B982-236E95CF59B7}">
    <text>Según el SRS, falta completar la tabla normativa de autorizaciones.</text>
  </threadedComment>
  <threadedComment ref="F18" dT="2026-10-04T20:42:47.61" personId="{39CB0087-2C43-4E75-A968-0C40CB3FD451}" id="{F960C077-0E81-4343-8F71-FAA6163710F0}">
    <text>Según el SRS, el glosario y la redacción facilitan comprender el requisito.</text>
  </threadedComment>
  <threadedComment ref="I18" dT="2026-10-04T21:21:34.35" personId="{39CB0087-2C43-4E75-A968-0C40CB3FD451}" id="{65E5641E-E986-41F1-98BC-040A36F71DB3}">
    <text>Según el SRS, el glosario y la redacción facilitan comprender el requisito.</text>
  </threadedComment>
  <threadedComment ref="K18" dT="2026-10-04T20:42:47.64" personId="{39CB0087-2C43-4E75-A968-0C40CB3FD451}" id="{619155E7-F527-4988-8166-D7B7E4348172}">
    <text>Según el SRS, el glosario y la redacción facilitan comprender el requisito.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dT="2026-10-04T21:21:34.39" personId="{39CB0087-2C43-4E75-A968-0C40CB3FD451}" id="{9B6B149F-C579-4A90-8739-59199191F765}">
    <text>Según el SRS, el requisito está documentado con alcance, condiciones y criterios de aceptación.</text>
  </threadedComment>
  <threadedComment ref="H8" dT="2026-10-04T21:21:34.39" personId="{39CB0087-2C43-4E75-A968-0C40CB3FD451}" id="{095B5F8C-8511-4D5B-A83C-8A3E46136D5A}">
    <text>Según el SRS, el requisito está documentado con alcance, condiciones y criterios de aceptación.</text>
  </threadedComment>
  <threadedComment ref="N8" dT="2026-10-04T21:21:34.39" personId="{39CB0087-2C43-4E75-A968-0C40CB3FD451}" id="{3EDF2EB3-F41E-4DF2-A542-C0596F3501F5}">
    <text>Según el SRS, el requisito está documentado con alcance, condiciones y criterios de aceptación.</text>
  </threadedComment>
  <threadedComment ref="B9" dT="2026-10-04T21:21:34.39" personId="{39CB0087-2C43-4E75-A968-0C40CB3FD451}" id="{275C3812-2E5C-48AA-92B0-67C4AC7EBB13}">
    <text>Según el código, la función está implementada. No se verificó su funcionamiento en producción.</text>
  </threadedComment>
  <threadedComment ref="H9" dT="2026-10-04T21:21:34.39" personId="{39CB0087-2C43-4E75-A968-0C40CB3FD451}" id="{B3226FE3-AA02-43BE-96CB-70A8B1E910AB}">
    <text>Según el código, la función está implementada. No se verificó su funcionamiento en producción.</text>
  </threadedComment>
  <threadedComment ref="N9" dT="2026-10-04T21:21:34.39" personId="{39CB0087-2C43-4E75-A968-0C40CB3FD451}" id="{ED76E5A9-EC9A-43CB-B126-BB012D0607CD}">
    <text>Según el código, la función está implementada. No se verificó su funcionamiento en producción.</text>
  </threadedComment>
  <threadedComment ref="B10" dT="2026-10-04T21:21:34.39" personId="{39CB0087-2C43-4E75-A968-0C40CB3FD451}" id="{D1C63675-B6FC-47C0-AD47-9EFA7CD0DFDA}">
    <text>Según la matriz actual, el requisito se relaciona con casos e historias. No acredita trazabilidad histórica.</text>
  </threadedComment>
  <threadedComment ref="H10" dT="2026-10-04T21:21:34.39" personId="{39CB0087-2C43-4E75-A968-0C40CB3FD451}" id="{3D7FE058-0338-4EBD-9BAB-BA8F6B77B70F}">
    <text>Según la matriz actual, el requisito se relaciona con casos e historias. No acredita trazabilidad histórica.</text>
  </threadedComment>
  <threadedComment ref="N10" dT="2026-10-04T21:21:34.39" personId="{39CB0087-2C43-4E75-A968-0C40CB3FD451}" id="{D8011752-315E-4635-94B7-09583919411D}">
    <text>Según la matriz actual, el requisito se relaciona con casos e historias. No acredita trazabilidad histórica.</text>
  </threadedComment>
  <threadedComment ref="B11" dT="2026-10-04T21:21:34.39" personId="{39CB0087-2C43-4E75-A968-0C40CB3FD451}" id="{2720E899-EC29-492B-828B-352830EE6BD9}">
    <text>No hay registro de la fuente original, la fecha ni el interesado que originó el requisito.</text>
  </threadedComment>
  <threadedComment ref="H11" dT="2026-10-04T21:21:34.39" personId="{39CB0087-2C43-4E75-A968-0C40CB3FD451}" id="{85F1D37A-0A87-4B0D-918C-37D2442A7A01}">
    <text>No hay registro de la fuente original, la fecha ni el interesado que originó el requisito.</text>
  </threadedComment>
  <threadedComment ref="N11" dT="2026-10-04T21:21:34.39" personId="{39CB0087-2C43-4E75-A968-0C40CB3FD451}" id="{9407B0F2-493B-41E5-B410-9CAF72554E43}">
    <text>No hay registro de la fuente original, la fecha ni el interesado que originó el requisito.</text>
  </threadedComment>
  <threadedComment ref="B12" dT="2026-10-04T21:21:34.39" personId="{39CB0087-2C43-4E75-A968-0C40CB3FD451}" id="{6E56B3A4-D77A-46BA-8F66-42C55B62CA15}">
    <text>Según la matriz actual, los identificadores permiten volver al requisito desde sus casos e historias.</text>
  </threadedComment>
  <threadedComment ref="H12" dT="2026-10-04T21:21:34.39" personId="{39CB0087-2C43-4E75-A968-0C40CB3FD451}" id="{28413569-C41D-4FE9-85E1-8081F4A265F9}">
    <text>Según la matriz actual, los identificadores permiten volver al requisito desde sus casos e historias.</text>
  </threadedComment>
  <threadedComment ref="N12" dT="2026-10-04T21:21:34.39" personId="{39CB0087-2C43-4E75-A968-0C40CB3FD451}" id="{289DF674-6289-4B11-8317-6435AF3C8AF1}">
    <text>Según la matriz actual, los identificadores permiten volver al requisito desde sus casos e historias.</text>
  </threadedComment>
  <threadedComment ref="B13" dT="2026-10-04T21:21:34.39" personId="{39CB0087-2C43-4E75-A968-0C40CB3FD451}" id="{EF3037E3-E026-47F5-9456-F14A3FEB681E}">
    <text>Según el SRS y lo confirmado por el equipo, la función responde a una necesidad del cliente.</text>
  </threadedComment>
  <threadedComment ref="H13" dT="2026-10-04T21:21:34.39" personId="{39CB0087-2C43-4E75-A968-0C40CB3FD451}" id="{6A233BFE-9439-468B-AA2D-638A794877E5}">
    <text>Según el SRS y lo confirmado por el equipo, la función responde a una necesidad del cliente.</text>
  </threadedComment>
  <threadedComment ref="N13" dT="2026-10-04T21:21:34.39" personId="{39CB0087-2C43-4E75-A968-0C40CB3FD451}" id="{1A4729E7-87AE-414D-82C7-FFF057EE2BFE}">
    <text>Según el SRS y lo confirmado por el equipo, la función responde a una necesidad del cliente.</text>
  </threadedComment>
  <threadedComment ref="B14" dT="2026-10-04T20:42:47.59" personId="{39CB0087-2C43-4E75-A968-0C40CB3FD451}" id="{F22055AC-E1C9-458F-B574-7BEBFCD04DD4}">
    <text>Según el SRS y los casos de uso, no se detectaron contradicciones en el alcance revisado.</text>
  </threadedComment>
  <threadedComment ref="H14" dT="2026-10-04T21:21:34.39" personId="{39CB0087-2C43-4E75-A968-0C40CB3FD451}" id="{90F049D2-34A7-4590-921E-62505DA034C2}">
    <text>Falta precisar los permisos por operación y conciliar su descripción con la implementación.</text>
  </threadedComment>
  <threadedComment ref="N14" dT="2026-10-04T20:42:47.63" personId="{39CB0087-2C43-4E75-A968-0C40CB3FD451}" id="{A8F81EB3-6494-4089-A614-72C6BE253460}">
    <text>Según el SRS y los casos de uso, no se detectaron contradicciones en el alcance revisado.</text>
  </threadedComment>
  <threadedComment ref="B15" dT="2026-10-04T21:21:34.39" personId="{39CB0087-2C43-4E75-A968-0C40CB3FD451}" id="{2F574581-722B-45A3-A2C1-88C4A2C791D2}">
    <text>Según el SRS, el requisito contribuye a los objetivos del sistema odontológico.</text>
  </threadedComment>
  <threadedComment ref="H15" dT="2026-10-04T21:21:34.39" personId="{39CB0087-2C43-4E75-A968-0C40CB3FD451}" id="{EDD74AC4-0A32-48E4-9812-A2CA65D1E671}">
    <text>Según el SRS, el requisito contribuye a los objetivos del sistema odontológico.</text>
  </threadedComment>
  <threadedComment ref="N15" dT="2026-10-04T20:42:47.63" personId="{39CB0087-2C43-4E75-A968-0C40CB3FD451}" id="{FD25A7BB-D9E3-4F38-B60F-BF8DB4AA0848}">
    <text>Según el SRS, el requisito contribuye a los objetivos del sistema odontológico.</text>
  </threadedComment>
  <threadedComment ref="B16" dT="2026-10-04T21:21:34.39" personId="{39CB0087-2C43-4E75-A968-0C40CB3FD451}" id="{38C5D7BE-996B-459C-BA70-2C3152051419}">
    <text>No hay un plan de validación con responsable, plazo, presupuesto y casos aprobados.</text>
  </threadedComment>
  <threadedComment ref="H16" dT="2026-10-04T21:21:34.39" personId="{39CB0087-2C43-4E75-A968-0C40CB3FD451}" id="{459E2F4B-CB24-4891-86BF-957726C943F3}">
    <text>No hay un plan de validación con responsable, plazo, presupuesto y casos aprobados.</text>
  </threadedComment>
  <threadedComment ref="N16" dT="2026-10-04T20:42:47.63" personId="{39CB0087-2C43-4E75-A968-0C40CB3FD451}" id="{1EEFEC8F-3EEB-4E4E-924F-2614D3459352}">
    <text>No hay un plan de validación con responsable, plazo, presupuesto y casos aprobados.</text>
  </threadedComment>
  <threadedComment ref="B22" dT="2026-10-04T21:21:34.39" personId="{39CB0087-2C43-4E75-A968-0C40CB3FD451}" id="{C2AAEFFB-B3C1-4611-82BD-5A9EDED2D4CD}">
    <text>Según el SRS, se usa IEEE 830 como referencia documental.</text>
  </threadedComment>
  <threadedComment ref="H22" dT="2026-10-04T21:21:34.39" personId="{39CB0087-2C43-4E75-A968-0C40CB3FD451}" id="{1CA8C7BD-4E83-47EE-A165-5B3DE59A412B}">
    <text>Según el SRS, se usa IEEE 830 como referencia documental.</text>
  </threadedComment>
  <threadedComment ref="N22" dT="2026-10-04T21:21:34.39" personId="{39CB0087-2C43-4E75-A968-0C40CB3FD451}" id="{C455C7D7-1F0A-480A-BBFC-B7C4341A7E29}">
    <text>Según el SRS, se usa IEEE 830 como referencia documental.</text>
  </threadedComment>
  <threadedComment ref="B23" dT="2026-10-04T21:21:34.39" personId="{39CB0087-2C43-4E75-A968-0C40CB3FD451}" id="{258EB4E4-20D4-432A-B35C-6F7BF53EA438}">
    <text>Según el SRS, se incluyen descripción, condiciones, resultado y criterio de aceptación.</text>
  </threadedComment>
  <threadedComment ref="H23" dT="2026-10-04T21:21:34.39" personId="{39CB0087-2C43-4E75-A968-0C40CB3FD451}" id="{A7515D82-608B-4C96-AC4E-2EC747877CE5}">
    <text>Según el SRS, se incluyen descripción, condiciones, resultado y criterio de aceptación.</text>
  </threadedComment>
  <threadedComment ref="N23" dT="2026-10-04T21:21:34.39" personId="{39CB0087-2C43-4E75-A968-0C40CB3FD451}" id="{B92F5B22-1132-4A6C-AC73-885C47A8BA29}">
    <text>Según el SRS, se incluyen descripción, condiciones, resultado y criterio de aceptación.</text>
  </threadedComment>
  <threadedComment ref="B24" dT="2026-10-04T21:21:34.39" personId="{39CB0087-2C43-4E75-A968-0C40CB3FD451}" id="{C917151A-92C3-40EF-93F9-0763178BF0FC}">
    <text>Según el SRS, existe un glosario compartido de términos.</text>
  </threadedComment>
  <threadedComment ref="H24" dT="2026-10-04T21:21:34.39" personId="{39CB0087-2C43-4E75-A968-0C40CB3FD451}" id="{B9E5D24D-C479-4B29-8B41-E17745A1BE40}">
    <text>Según el SRS, existe un glosario compartido de términos.</text>
  </threadedComment>
  <threadedComment ref="N24" dT="2026-10-04T21:21:34.39" personId="{39CB0087-2C43-4E75-A968-0C40CB3FD451}" id="{2A2871A4-35EB-421C-A212-0CDA6A9189AE}">
    <text>Según el SRS, existe un glosario compartido de términos.</text>
  </threadedComment>
  <threadedComment ref="B25" dT="2026-10-04T21:21:34.39" personId="{39CB0087-2C43-4E75-A968-0C40CB3FD451}" id="{8A477715-9476-47A9-9E9B-6515C77F761A}">
    <text>Según el SRS y los casos de uso, el alcance básico tiene una interpretación clara.</text>
  </threadedComment>
  <threadedComment ref="H25" dT="2026-10-04T21:21:34.39" personId="{39CB0087-2C43-4E75-A968-0C40CB3FD451}" id="{027BA612-FF37-42C3-B314-00A5E7D3D3CD}">
    <text>Según el SRS, falta precisar los campos y la autorización de cada operación.</text>
  </threadedComment>
  <threadedComment ref="N25" dT="2026-10-04T21:21:34.39" personId="{39CB0087-2C43-4E75-A968-0C40CB3FD451}" id="{E99D1854-397E-49B0-9026-28C2D0B5A465}">
    <text>Según el SRS, falta precisar la correspondencia entre roles, operaciones, sucursales y plan.</text>
  </threadedComment>
  <threadedComment ref="B26" dT="2026-10-04T21:21:34.39" personId="{39CB0087-2C43-4E75-A968-0C40CB3FD451}" id="{6C104EE9-F647-4BDE-ADA5-EF4461481012}">
    <text>Los casos de uso y las historias siguen una estructura uniforme con flujos y criterios.</text>
  </threadedComment>
  <threadedComment ref="H26" dT="2026-10-04T21:21:34.39" personId="{39CB0087-2C43-4E75-A968-0C40CB3FD451}" id="{0B2A523A-9100-4C0D-A9BE-9B50C315503F}">
    <text>Los casos de uso y las historias siguen una estructura uniforme con flujos y criterios.</text>
  </threadedComment>
  <threadedComment ref="N26" dT="2026-10-04T21:21:34.39" personId="{39CB0087-2C43-4E75-A968-0C40CB3FD451}" id="{E5002D62-BC1C-4059-9378-76D97C43E2B7}">
    <text>Los casos de uso y las historias siguen una estructura uniforme con flujos y criterios.</text>
  </threadedComment>
  <threadedComment ref="B32" dT="2026-10-04T21:21:34.39" personId="{39CB0087-2C43-4E75-A968-0C40CB3FD451}" id="{B507B953-001E-4E9C-B0EB-E812258BF2D8}">
    <text>El equipo confirma el acuerdo y la aprobación del cliente. Falta evidencia documental.</text>
  </threadedComment>
  <threadedComment ref="H32" dT="2026-10-04T21:21:34.39" personId="{39CB0087-2C43-4E75-A968-0C40CB3FD451}" id="{39508A67-D8CD-4710-BCFE-6B9C69C2A031}">
    <text>El equipo confirma el acuerdo y la aprobación del cliente. Falta evidencia documental.</text>
  </threadedComment>
  <threadedComment ref="N32" dT="2026-10-04T21:21:34.39" personId="{39CB0087-2C43-4E75-A968-0C40CB3FD451}" id="{5020E990-D20D-4B2C-A2F9-A3BADAAFAFB0}">
    <text>El equipo confirma el acuerdo y la aprobación del cliente. Falta evidencia documental.</text>
  </threadedComment>
  <threadedComment ref="B33" dT="2026-10-04T21:21:34.39" personId="{39CB0087-2C43-4E75-A968-0C40CB3FD451}" id="{20189298-C9B2-494F-9495-260B9BB6B1BC}">
    <text>El equipo confirma que el cliente aprobó las modificaciones actuales. Falta respaldo documental.</text>
  </threadedComment>
  <threadedComment ref="H33" dT="2026-10-04T21:21:34.39" personId="{39CB0087-2C43-4E75-A968-0C40CB3FD451}" id="{28DB07DF-DED4-4DF9-86F8-AC7D35903F63}">
    <text>El equipo confirma que el cliente aprobó las modificaciones actuales. Falta respaldo documental.</text>
  </threadedComment>
  <threadedComment ref="N33" dT="2026-10-04T21:21:34.39" personId="{39CB0087-2C43-4E75-A968-0C40CB3FD451}" id="{9EFAEFD6-201E-4867-A3AF-3FE2B474E886}">
    <text>El equipo confirma que el cliente aprobó las modificaciones actuales. Falta respaldo documental.</text>
  </threadedComment>
  <threadedComment ref="B34" dT="2026-10-04T20:42:47.06" personId="{39CB0087-2C43-4E75-A968-0C40CB3FD451}" id="{95B33D15-77EB-4AE4-A320-C860A1E80A9B}">
    <text>El equipo confirma que se resolvieron todos los conflictos conocidos. Falta registrar las decisiones.</text>
  </threadedComment>
  <threadedComment ref="H34" dT="2026-10-04T20:42:47.62" personId="{39CB0087-2C43-4E75-A968-0C40CB3FD451}" id="{84400312-3668-43E5-AE81-C1E9EFF9EA27}">
    <text>El equipo confirma que se resolvieron todos los conflictos conocidos. Falta registrar las decisiones.</text>
  </threadedComment>
  <threadedComment ref="N34" dT="2026-10-04T21:21:34.39" personId="{39CB0087-2C43-4E75-A968-0C40CB3FD451}" id="{3169A290-BB0D-4CAB-AF4F-0F28E40BF1E8}">
    <text>El equipo confirma que se resolvieron todos los conflictos conocidos. Falta registrar las decisiones.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" dT="2026-10-04T20:42:47.61" personId="{39CB0087-2C43-4E75-A968-0C40CB3FD451}" id="{D0CDBC48-B4DE-411B-B12C-9D98A3574F3E}">
    <text>El cliente aprobó el requisito, según el equipo. Faltan los entregables y el respaldo formal de la entrevista.</text>
  </threadedComment>
  <threadedComment ref="A4" dT="2026-10-04T21:21:34.39" personId="{39CB0087-2C43-4E75-A968-0C40CB3FD451}" id="{98CB3EE6-C74A-466C-A8A8-77B7BBA63660}">
    <text>Según el SRS, hay criterios de aceptación. Faltan casos formales con resultados y evidencia de ejecución.</text>
  </threadedComment>
  <threadedComment ref="A11" dT="2026-10-04T21:21:34.39" personId="{39CB0087-2C43-4E75-A968-0C40CB3FD451}" id="{E04E7683-7562-4498-9053-E6921691CBF0}">
    <text>El cliente aprobó el requisito, según el equipo. Faltan los entregables y el respaldo formal de la entrevista.</text>
  </threadedComment>
  <threadedComment ref="A12" dT="2026-10-04T21:21:34.39" personId="{39CB0087-2C43-4E75-A968-0C40CB3FD451}" id="{36EE27D1-BE93-4FC6-9C59-48910F5EAA3A}">
    <text>Según el SRS, hay criterios de aceptación. Faltan casos formales con resultados y evidencia de ejecución.</text>
  </threadedComment>
  <threadedComment ref="A19" dT="2026-10-04T20:42:47.64" personId="{39CB0087-2C43-4E75-A968-0C40CB3FD451}" id="{AF4131D2-0C19-44D3-BAF6-33035840D627}">
    <text>El cliente aprobó el requisito, según el equipo. Faltan los entregables y el respaldo formal de la entrevista.</text>
  </threadedComment>
  <threadedComment ref="A20" dT="2026-10-04T20:42:47.64" personId="{39CB0087-2C43-4E75-A968-0C40CB3FD451}" id="{80DAF2C7-9DAB-4077-9F37-72C9A6623ED0}">
    <text>Según el SRS, hay criterios de aceptación. Faltan casos formales con resultados y evidencia de ejecución.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microsoft.com/office/2017/10/relationships/threadedComment" Target="../threadedComments/threadedComment2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8" zoomScale="36" workbookViewId="0"/>
  </sheetViews>
  <sheetFormatPr baseColWidth="10" defaultColWidth="14.44140625" defaultRowHeight="15" customHeight="1" x14ac:dyDescent="0.3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42.6640625" customWidth="1"/>
    <col min="7" max="7" width="10.109375" customWidth="1"/>
    <col min="8" max="8" width="4.6640625" hidden="1" customWidth="1"/>
    <col min="9" max="9" width="42.6640625" customWidth="1"/>
    <col min="10" max="10" width="9.88671875" customWidth="1"/>
    <col min="11" max="11" width="39.554687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82" t="s">
        <v>0</v>
      </c>
      <c r="D3" s="78"/>
      <c r="E3" s="78"/>
      <c r="F3" s="78"/>
      <c r="G3" s="78"/>
      <c r="H3" s="78"/>
      <c r="I3" s="78"/>
      <c r="J3" s="78"/>
      <c r="K3" s="78"/>
    </row>
    <row r="4" spans="2:11" ht="30" customHeight="1" x14ac:dyDescent="0.3">
      <c r="C4" s="78"/>
      <c r="D4" s="78"/>
      <c r="E4" s="78"/>
      <c r="F4" s="78"/>
      <c r="G4" s="78"/>
      <c r="H4" s="78"/>
      <c r="I4" s="78"/>
      <c r="J4" s="78"/>
      <c r="K4" s="78"/>
    </row>
    <row r="5" spans="2:11" ht="30" customHeight="1" x14ac:dyDescent="0.3">
      <c r="C5" s="2"/>
      <c r="D5" s="3" t="s">
        <v>1</v>
      </c>
      <c r="E5" s="83" t="s">
        <v>2</v>
      </c>
      <c r="F5" s="78"/>
      <c r="G5" s="78"/>
      <c r="H5" s="78"/>
      <c r="I5" s="78"/>
      <c r="J5" s="78"/>
      <c r="K5" s="78"/>
    </row>
    <row r="6" spans="2:11" ht="22.8" x14ac:dyDescent="0.3">
      <c r="C6" s="1"/>
      <c r="F6" s="84" t="s">
        <v>3</v>
      </c>
      <c r="G6" s="85"/>
      <c r="H6" s="85"/>
      <c r="I6" s="85"/>
      <c r="J6" s="85"/>
      <c r="K6" s="86"/>
    </row>
    <row r="7" spans="2:11" ht="45" customHeight="1" x14ac:dyDescent="0.3">
      <c r="B7" s="81" t="s">
        <v>4</v>
      </c>
      <c r="C7" s="87" t="s">
        <v>5</v>
      </c>
      <c r="D7" s="88"/>
      <c r="E7" s="79" t="s">
        <v>6</v>
      </c>
      <c r="F7" s="81" t="s">
        <v>7</v>
      </c>
      <c r="G7" s="79" t="s">
        <v>6</v>
      </c>
      <c r="H7" s="5"/>
      <c r="I7" s="81"/>
      <c r="J7" s="79"/>
      <c r="K7" s="81"/>
    </row>
    <row r="8" spans="2:11" ht="14.4" x14ac:dyDescent="0.3">
      <c r="B8" s="80"/>
      <c r="C8" s="89"/>
      <c r="D8" s="90"/>
      <c r="E8" s="80"/>
      <c r="F8" s="80"/>
      <c r="G8" s="80"/>
      <c r="H8" s="5"/>
      <c r="I8" s="80"/>
      <c r="J8" s="80"/>
      <c r="K8" s="80"/>
    </row>
    <row r="9" spans="2:11" ht="46.8" x14ac:dyDescent="0.3">
      <c r="B9" s="6">
        <v>1</v>
      </c>
      <c r="C9" s="91" t="s">
        <v>8</v>
      </c>
      <c r="D9" s="86"/>
      <c r="E9" s="7" t="s">
        <v>9</v>
      </c>
      <c r="F9" s="8" t="s">
        <v>10</v>
      </c>
      <c r="G9" s="7"/>
      <c r="H9" s="9"/>
      <c r="I9" s="8"/>
      <c r="J9" s="7"/>
      <c r="K9" s="8"/>
    </row>
    <row r="10" spans="2:11" ht="31.2" x14ac:dyDescent="0.3">
      <c r="B10" s="6">
        <v>2</v>
      </c>
      <c r="C10" s="91" t="s">
        <v>11</v>
      </c>
      <c r="D10" s="86"/>
      <c r="E10" s="7" t="s">
        <v>9</v>
      </c>
      <c r="F10" s="10" t="s">
        <v>12</v>
      </c>
      <c r="G10" s="7"/>
      <c r="I10" s="10"/>
      <c r="J10" s="7"/>
      <c r="K10" s="10"/>
    </row>
    <row r="11" spans="2:11" ht="46.8" x14ac:dyDescent="0.3">
      <c r="B11" s="6">
        <v>3</v>
      </c>
      <c r="C11" s="91" t="s">
        <v>13</v>
      </c>
      <c r="D11" s="86"/>
      <c r="E11" s="7" t="s">
        <v>9</v>
      </c>
      <c r="F11" s="10" t="s">
        <v>14</v>
      </c>
      <c r="G11" s="7"/>
      <c r="I11" s="10"/>
      <c r="J11" s="7"/>
      <c r="K11" s="10"/>
    </row>
    <row r="12" spans="2:11" ht="62.4" x14ac:dyDescent="0.3">
      <c r="B12" s="6">
        <v>4</v>
      </c>
      <c r="C12" s="91" t="s">
        <v>15</v>
      </c>
      <c r="D12" s="86"/>
      <c r="E12" s="7" t="s">
        <v>9</v>
      </c>
      <c r="F12" s="11" t="s">
        <v>16</v>
      </c>
      <c r="G12" s="12"/>
      <c r="I12" s="11"/>
      <c r="J12" s="12"/>
      <c r="K12" s="11"/>
    </row>
    <row r="13" spans="2:11" ht="62.4" x14ac:dyDescent="0.3">
      <c r="B13" s="6">
        <v>5</v>
      </c>
      <c r="C13" s="91" t="s">
        <v>17</v>
      </c>
      <c r="D13" s="86"/>
      <c r="E13" s="7" t="s">
        <v>9</v>
      </c>
      <c r="F13" s="11" t="s">
        <v>18</v>
      </c>
      <c r="G13" s="7"/>
      <c r="I13" s="11"/>
      <c r="J13" s="7"/>
      <c r="K13" s="11"/>
    </row>
    <row r="14" spans="2:11" ht="46.8" x14ac:dyDescent="0.3">
      <c r="B14" s="6">
        <v>6</v>
      </c>
      <c r="C14" s="91" t="s">
        <v>19</v>
      </c>
      <c r="D14" s="86"/>
      <c r="E14" s="7" t="s">
        <v>9</v>
      </c>
      <c r="F14" s="11" t="s">
        <v>20</v>
      </c>
      <c r="G14" s="12"/>
      <c r="I14" s="11"/>
      <c r="J14" s="12"/>
      <c r="K14" s="11"/>
    </row>
    <row r="15" spans="2:11" ht="31.2" x14ac:dyDescent="0.3">
      <c r="B15" s="6">
        <v>7</v>
      </c>
      <c r="C15" s="91" t="s">
        <v>21</v>
      </c>
      <c r="D15" s="86"/>
      <c r="E15" s="12" t="s">
        <v>22</v>
      </c>
      <c r="F15" s="11" t="s">
        <v>23</v>
      </c>
      <c r="G15" s="12"/>
      <c r="I15" s="11"/>
      <c r="J15" s="12"/>
      <c r="K15" s="11"/>
    </row>
    <row r="16" spans="2:11" ht="62.4" x14ac:dyDescent="0.3">
      <c r="B16" s="6">
        <v>8</v>
      </c>
      <c r="C16" s="91" t="s">
        <v>24</v>
      </c>
      <c r="D16" s="86"/>
      <c r="E16" s="12" t="s">
        <v>22</v>
      </c>
      <c r="F16" s="11" t="s">
        <v>25</v>
      </c>
      <c r="G16" s="12"/>
      <c r="I16" s="11"/>
      <c r="J16" s="12"/>
      <c r="K16" s="11"/>
    </row>
    <row r="17" spans="2:11" ht="78" x14ac:dyDescent="0.3">
      <c r="B17" s="6">
        <v>9</v>
      </c>
      <c r="C17" s="91" t="s">
        <v>26</v>
      </c>
      <c r="D17" s="86"/>
      <c r="E17" s="7" t="s">
        <v>9</v>
      </c>
      <c r="F17" s="13" t="s">
        <v>27</v>
      </c>
      <c r="G17" s="7"/>
      <c r="I17" s="13"/>
      <c r="J17" s="7"/>
      <c r="K17" s="13"/>
    </row>
    <row r="18" spans="2:11" ht="93.6" x14ac:dyDescent="0.3">
      <c r="B18" s="6">
        <v>10</v>
      </c>
      <c r="C18" s="91" t="s">
        <v>28</v>
      </c>
      <c r="D18" s="86"/>
      <c r="E18" s="7" t="s">
        <v>9</v>
      </c>
      <c r="F18" s="11" t="s">
        <v>29</v>
      </c>
      <c r="G18" s="7"/>
      <c r="I18" s="11"/>
      <c r="J18" s="7"/>
      <c r="K18" s="11"/>
    </row>
    <row r="19" spans="2:11" ht="31.2" x14ac:dyDescent="0.3">
      <c r="B19" s="6">
        <v>11</v>
      </c>
      <c r="C19" s="91" t="s">
        <v>30</v>
      </c>
      <c r="D19" s="86"/>
      <c r="E19" s="7" t="s">
        <v>9</v>
      </c>
      <c r="F19" s="11" t="s">
        <v>31</v>
      </c>
      <c r="G19" s="7"/>
      <c r="I19" s="11"/>
      <c r="J19" s="7"/>
      <c r="K19" s="11"/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4.25" customHeight="1" x14ac:dyDescent="0.3">
      <c r="C220" s="1"/>
    </row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999"/>
  <sheetViews>
    <sheetView showGridLines="0" topLeftCell="A10" zoomScale="36" workbookViewId="0">
      <selection activeCell="I11" sqref="I11"/>
    </sheetView>
  </sheetViews>
  <sheetFormatPr baseColWidth="10" defaultColWidth="14.44140625" defaultRowHeight="15" customHeight="1" x14ac:dyDescent="0.3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42.6640625" customWidth="1"/>
    <col min="7" max="7" width="10.109375" customWidth="1"/>
    <col min="8" max="8" width="4.6640625" hidden="1" customWidth="1"/>
    <col min="9" max="9" width="42.6640625" customWidth="1"/>
    <col min="10" max="10" width="9.88671875" customWidth="1"/>
    <col min="11" max="11" width="47.10937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82" t="s">
        <v>0</v>
      </c>
      <c r="D3" s="78"/>
      <c r="E3" s="78"/>
      <c r="F3" s="78"/>
      <c r="G3" s="78"/>
      <c r="H3" s="78"/>
      <c r="I3" s="78"/>
      <c r="J3" s="78"/>
      <c r="K3" s="78"/>
    </row>
    <row r="4" spans="2:11" ht="30" customHeight="1" x14ac:dyDescent="0.3">
      <c r="C4" s="78"/>
      <c r="D4" s="78"/>
      <c r="E4" s="78"/>
      <c r="F4" s="78"/>
      <c r="G4" s="78"/>
      <c r="H4" s="78"/>
      <c r="I4" s="78"/>
      <c r="J4" s="78"/>
      <c r="K4" s="78"/>
    </row>
    <row r="5" spans="2:11" ht="30" customHeight="1" x14ac:dyDescent="0.3">
      <c r="C5" s="2"/>
      <c r="D5" s="3" t="s">
        <v>1</v>
      </c>
      <c r="E5" s="83" t="s">
        <v>99</v>
      </c>
      <c r="F5" s="78"/>
      <c r="G5" s="78"/>
      <c r="H5" s="78"/>
      <c r="I5" s="78"/>
      <c r="J5" s="78"/>
      <c r="K5" s="78"/>
    </row>
    <row r="6" spans="2:11" ht="22.8" x14ac:dyDescent="0.3">
      <c r="C6" s="1"/>
      <c r="F6" s="84" t="s">
        <v>3</v>
      </c>
      <c r="G6" s="85"/>
      <c r="H6" s="85"/>
      <c r="I6" s="85"/>
      <c r="J6" s="85"/>
      <c r="K6" s="86"/>
    </row>
    <row r="7" spans="2:11" ht="55.05" customHeight="1" x14ac:dyDescent="0.3">
      <c r="B7" s="14" t="s">
        <v>4</v>
      </c>
      <c r="C7" s="92" t="s">
        <v>5</v>
      </c>
      <c r="D7" s="86"/>
      <c r="E7" s="15" t="s">
        <v>6</v>
      </c>
      <c r="F7" s="14" t="s">
        <v>49</v>
      </c>
      <c r="G7" s="15" t="s">
        <v>6</v>
      </c>
      <c r="H7" s="5"/>
      <c r="I7" s="14" t="s">
        <v>50</v>
      </c>
      <c r="J7" s="15" t="s">
        <v>6</v>
      </c>
      <c r="K7" s="4" t="s">
        <v>51</v>
      </c>
    </row>
    <row r="8" spans="2:11" ht="72" customHeight="1" x14ac:dyDescent="0.3">
      <c r="B8" s="6">
        <v>1</v>
      </c>
      <c r="C8" s="91" t="s">
        <v>8</v>
      </c>
      <c r="D8" s="86"/>
      <c r="E8" s="76" t="s">
        <v>9</v>
      </c>
      <c r="F8" s="8" t="s">
        <v>100</v>
      </c>
      <c r="G8" s="76" t="s">
        <v>9</v>
      </c>
      <c r="H8" s="9"/>
      <c r="I8" s="8" t="s">
        <v>100</v>
      </c>
      <c r="J8" s="76" t="s">
        <v>9</v>
      </c>
      <c r="K8" s="8" t="s">
        <v>100</v>
      </c>
    </row>
    <row r="9" spans="2:11" ht="43.95" customHeight="1" x14ac:dyDescent="0.3">
      <c r="B9" s="6">
        <v>2</v>
      </c>
      <c r="C9" s="91" t="s">
        <v>11</v>
      </c>
      <c r="D9" s="86"/>
      <c r="E9" s="63" t="s">
        <v>9</v>
      </c>
      <c r="F9" s="10" t="s">
        <v>52</v>
      </c>
      <c r="G9" s="63" t="s">
        <v>9</v>
      </c>
      <c r="I9" s="10" t="s">
        <v>53</v>
      </c>
      <c r="J9" s="63" t="s">
        <v>9</v>
      </c>
      <c r="K9" s="10" t="s">
        <v>54</v>
      </c>
    </row>
    <row r="10" spans="2:11" ht="72" customHeight="1" x14ac:dyDescent="0.3">
      <c r="B10" s="6">
        <v>3</v>
      </c>
      <c r="C10" s="91" t="s">
        <v>13</v>
      </c>
      <c r="D10" s="86"/>
      <c r="E10" s="63" t="s">
        <v>9</v>
      </c>
      <c r="F10" s="10" t="s">
        <v>55</v>
      </c>
      <c r="G10" s="62" t="s">
        <v>22</v>
      </c>
      <c r="I10" s="10" t="s">
        <v>56</v>
      </c>
      <c r="J10" s="62" t="s">
        <v>22</v>
      </c>
      <c r="K10" s="8" t="s">
        <v>57</v>
      </c>
    </row>
    <row r="11" spans="2:11" ht="72" customHeight="1" x14ac:dyDescent="0.3">
      <c r="B11" s="6">
        <v>4</v>
      </c>
      <c r="C11" s="91" t="s">
        <v>15</v>
      </c>
      <c r="D11" s="86"/>
      <c r="E11" s="62" t="s">
        <v>22</v>
      </c>
      <c r="F11" s="11" t="s">
        <v>101</v>
      </c>
      <c r="G11" s="62" t="s">
        <v>22</v>
      </c>
      <c r="I11" s="11" t="s">
        <v>101</v>
      </c>
      <c r="J11" s="62" t="s">
        <v>22</v>
      </c>
      <c r="K11" s="11" t="s">
        <v>101</v>
      </c>
    </row>
    <row r="12" spans="2:11" ht="64.05" customHeight="1" x14ac:dyDescent="0.3">
      <c r="B12" s="6">
        <v>5</v>
      </c>
      <c r="C12" s="91" t="s">
        <v>17</v>
      </c>
      <c r="D12" s="86"/>
      <c r="E12" s="63" t="s">
        <v>9</v>
      </c>
      <c r="F12" s="11" t="s">
        <v>58</v>
      </c>
      <c r="G12" s="63" t="s">
        <v>9</v>
      </c>
      <c r="I12" s="11" t="s">
        <v>59</v>
      </c>
      <c r="J12" s="63" t="s">
        <v>9</v>
      </c>
      <c r="K12" s="8" t="s">
        <v>60</v>
      </c>
    </row>
    <row r="13" spans="2:11" ht="64.05" customHeight="1" x14ac:dyDescent="0.3">
      <c r="B13" s="6">
        <v>6</v>
      </c>
      <c r="C13" s="91" t="s">
        <v>19</v>
      </c>
      <c r="D13" s="86"/>
      <c r="E13" s="63" t="s">
        <v>9</v>
      </c>
      <c r="F13" s="11" t="s">
        <v>61</v>
      </c>
      <c r="G13" s="62" t="s">
        <v>22</v>
      </c>
      <c r="I13" s="11" t="s">
        <v>62</v>
      </c>
      <c r="J13" s="63" t="s">
        <v>9</v>
      </c>
      <c r="K13" s="8" t="s">
        <v>63</v>
      </c>
    </row>
    <row r="14" spans="2:11" ht="64.05" customHeight="1" x14ac:dyDescent="0.3">
      <c r="B14" s="6">
        <v>7</v>
      </c>
      <c r="C14" s="91" t="s">
        <v>21</v>
      </c>
      <c r="D14" s="86"/>
      <c r="E14" s="63" t="s">
        <v>9</v>
      </c>
      <c r="F14" s="11" t="s">
        <v>64</v>
      </c>
      <c r="G14" s="63" t="s">
        <v>9</v>
      </c>
      <c r="I14" s="11" t="s">
        <v>65</v>
      </c>
      <c r="J14" s="63" t="s">
        <v>9</v>
      </c>
      <c r="K14" s="11" t="s">
        <v>65</v>
      </c>
    </row>
    <row r="15" spans="2:11" ht="64.05" customHeight="1" x14ac:dyDescent="0.3">
      <c r="B15" s="6">
        <v>8</v>
      </c>
      <c r="C15" s="91" t="s">
        <v>24</v>
      </c>
      <c r="D15" s="86"/>
      <c r="E15" s="63" t="s">
        <v>9</v>
      </c>
      <c r="F15" s="11" t="s">
        <v>66</v>
      </c>
      <c r="G15" s="63" t="s">
        <v>9</v>
      </c>
      <c r="I15" s="11" t="s">
        <v>67</v>
      </c>
      <c r="J15" s="63" t="s">
        <v>9</v>
      </c>
      <c r="K15" s="11" t="s">
        <v>68</v>
      </c>
    </row>
    <row r="16" spans="2:11" ht="64.05" customHeight="1" x14ac:dyDescent="0.3">
      <c r="B16" s="6">
        <v>9</v>
      </c>
      <c r="C16" s="91" t="s">
        <v>26</v>
      </c>
      <c r="D16" s="86"/>
      <c r="E16" s="63" t="s">
        <v>9</v>
      </c>
      <c r="F16" s="13" t="s">
        <v>69</v>
      </c>
      <c r="G16" s="63" t="s">
        <v>9</v>
      </c>
      <c r="I16" s="13" t="s">
        <v>70</v>
      </c>
      <c r="J16" s="63" t="s">
        <v>9</v>
      </c>
      <c r="K16" s="13" t="s">
        <v>71</v>
      </c>
    </row>
    <row r="17" spans="2:11" ht="64.05" customHeight="1" x14ac:dyDescent="0.3">
      <c r="B17" s="6">
        <v>10</v>
      </c>
      <c r="C17" s="91" t="s">
        <v>28</v>
      </c>
      <c r="D17" s="86"/>
      <c r="E17" s="63" t="s">
        <v>9</v>
      </c>
      <c r="F17" s="11" t="s">
        <v>72</v>
      </c>
      <c r="G17" s="62" t="s">
        <v>22</v>
      </c>
      <c r="I17" s="11" t="s">
        <v>73</v>
      </c>
      <c r="J17" s="62" t="s">
        <v>22</v>
      </c>
      <c r="K17" s="11" t="s">
        <v>74</v>
      </c>
    </row>
    <row r="18" spans="2:11" ht="43.95" customHeight="1" x14ac:dyDescent="0.3">
      <c r="B18" s="6">
        <v>11</v>
      </c>
      <c r="C18" s="91" t="s">
        <v>30</v>
      </c>
      <c r="D18" s="86"/>
      <c r="E18" s="63" t="s">
        <v>9</v>
      </c>
      <c r="F18" s="11" t="s">
        <v>75</v>
      </c>
      <c r="G18" s="63" t="s">
        <v>9</v>
      </c>
      <c r="I18" s="11" t="s">
        <v>75</v>
      </c>
      <c r="J18" s="63" t="s">
        <v>9</v>
      </c>
      <c r="K18" s="11" t="s">
        <v>75</v>
      </c>
    </row>
    <row r="19" spans="2:11" ht="14.25" customHeight="1" x14ac:dyDescent="0.3">
      <c r="C19" s="1"/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5.75" customHeight="1" x14ac:dyDescent="0.3"/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5">
    <mergeCell ref="C17:D17"/>
    <mergeCell ref="C18:D18"/>
    <mergeCell ref="C11:D11"/>
    <mergeCell ref="C3:K4"/>
    <mergeCell ref="E5:K5"/>
    <mergeCell ref="F6:K6"/>
    <mergeCell ref="C7:D7"/>
    <mergeCell ref="C8:D8"/>
    <mergeCell ref="C9:D9"/>
    <mergeCell ref="C10:D10"/>
    <mergeCell ref="C12:D12"/>
    <mergeCell ref="C13:D13"/>
    <mergeCell ref="C14:D14"/>
    <mergeCell ref="C15:D15"/>
    <mergeCell ref="C16:D1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A15" zoomScale="33" workbookViewId="0">
      <selection activeCell="C34" sqref="C34"/>
    </sheetView>
  </sheetViews>
  <sheetFormatPr baseColWidth="10" defaultColWidth="14.44140625" defaultRowHeight="15" customHeight="1" x14ac:dyDescent="0.3"/>
  <cols>
    <col min="1" max="1" width="12" customWidth="1"/>
    <col min="2" max="2" width="34.5546875" customWidth="1"/>
    <col min="3" max="3" width="16.109375" customWidth="1"/>
    <col min="4" max="6" width="10.6640625" customWidth="1"/>
    <col min="7" max="7" width="11.88671875" customWidth="1"/>
    <col min="8" max="8" width="36.6640625" customWidth="1"/>
    <col min="9" max="12" width="10.6640625" customWidth="1"/>
    <col min="13" max="13" width="11.5546875" customWidth="1"/>
    <col min="14" max="14" width="36.6640625" customWidth="1"/>
    <col min="15" max="25" width="10.6640625" customWidth="1"/>
  </cols>
  <sheetData>
    <row r="1" spans="1:27" ht="18" x14ac:dyDescent="0.3">
      <c r="A1" s="16" t="s">
        <v>1</v>
      </c>
      <c r="B1" s="106" t="s">
        <v>99</v>
      </c>
      <c r="C1" s="85"/>
      <c r="D1" s="86"/>
      <c r="E1" s="17"/>
      <c r="F1" s="17"/>
      <c r="G1" s="16" t="s">
        <v>1</v>
      </c>
      <c r="H1" s="106" t="s">
        <v>99</v>
      </c>
      <c r="I1" s="85"/>
      <c r="J1" s="86"/>
      <c r="K1" s="17"/>
      <c r="L1" s="17"/>
      <c r="M1" s="16" t="s">
        <v>1</v>
      </c>
      <c r="N1" s="106" t="s">
        <v>99</v>
      </c>
      <c r="O1" s="85"/>
      <c r="P1" s="86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18" x14ac:dyDescent="0.35">
      <c r="A2" s="18" t="s">
        <v>32</v>
      </c>
      <c r="B2" s="107">
        <v>46296</v>
      </c>
      <c r="C2" s="85"/>
      <c r="D2" s="86"/>
      <c r="G2" s="18" t="s">
        <v>32</v>
      </c>
      <c r="H2" s="107">
        <v>46296</v>
      </c>
      <c r="I2" s="85"/>
      <c r="J2" s="86"/>
      <c r="M2" s="18" t="s">
        <v>32</v>
      </c>
      <c r="N2" s="107">
        <v>46296</v>
      </c>
      <c r="O2" s="85"/>
      <c r="P2" s="86"/>
    </row>
    <row r="3" spans="1:27" ht="31.95" customHeight="1" x14ac:dyDescent="0.35">
      <c r="A3" s="18" t="s">
        <v>33</v>
      </c>
      <c r="B3" s="101" t="s">
        <v>76</v>
      </c>
      <c r="C3" s="85"/>
      <c r="D3" s="86"/>
      <c r="G3" s="18" t="s">
        <v>33</v>
      </c>
      <c r="H3" s="101" t="s">
        <v>76</v>
      </c>
      <c r="I3" s="85"/>
      <c r="J3" s="86"/>
      <c r="M3" s="18" t="s">
        <v>33</v>
      </c>
      <c r="N3" s="101" t="s">
        <v>76</v>
      </c>
      <c r="O3" s="85"/>
      <c r="P3" s="86"/>
    </row>
    <row r="4" spans="1:27" ht="46.95" customHeight="1" x14ac:dyDescent="0.35">
      <c r="A4" s="102" t="s">
        <v>34</v>
      </c>
      <c r="B4" s="86"/>
      <c r="C4" s="101" t="s">
        <v>49</v>
      </c>
      <c r="D4" s="86"/>
      <c r="G4" s="99" t="s">
        <v>34</v>
      </c>
      <c r="H4" s="86"/>
      <c r="I4" s="97" t="s">
        <v>50</v>
      </c>
      <c r="J4" s="86"/>
      <c r="M4" s="99" t="s">
        <v>34</v>
      </c>
      <c r="N4" s="86"/>
      <c r="O4" s="97" t="s">
        <v>51</v>
      </c>
      <c r="P4" s="86"/>
    </row>
    <row r="5" spans="1:27" ht="18" x14ac:dyDescent="0.35">
      <c r="G5" s="9"/>
      <c r="H5" s="9"/>
      <c r="I5" s="9"/>
      <c r="J5" s="98"/>
      <c r="K5" s="78"/>
      <c r="M5" s="9"/>
      <c r="N5" s="9"/>
      <c r="O5" s="9"/>
      <c r="P5" s="9"/>
    </row>
    <row r="6" spans="1:27" ht="23.4" x14ac:dyDescent="0.45">
      <c r="A6" s="103" t="s">
        <v>35</v>
      </c>
      <c r="B6" s="78"/>
      <c r="C6" s="78"/>
      <c r="D6" s="78"/>
      <c r="G6" s="104" t="s">
        <v>35</v>
      </c>
      <c r="H6" s="78"/>
      <c r="I6" s="78"/>
      <c r="J6" s="78"/>
      <c r="M6" s="104" t="s">
        <v>35</v>
      </c>
      <c r="N6" s="78"/>
      <c r="O6" s="78"/>
      <c r="P6" s="78"/>
    </row>
    <row r="7" spans="1:27" ht="18" x14ac:dyDescent="0.35">
      <c r="A7" s="19" t="s">
        <v>36</v>
      </c>
      <c r="B7" s="20" t="s">
        <v>37</v>
      </c>
      <c r="C7" s="20" t="s">
        <v>38</v>
      </c>
      <c r="D7" s="21" t="s">
        <v>39</v>
      </c>
      <c r="G7" s="22" t="s">
        <v>36</v>
      </c>
      <c r="H7" s="23" t="s">
        <v>37</v>
      </c>
      <c r="I7" s="23" t="s">
        <v>38</v>
      </c>
      <c r="J7" s="24" t="s">
        <v>39</v>
      </c>
      <c r="M7" s="22" t="s">
        <v>36</v>
      </c>
      <c r="N7" s="23" t="s">
        <v>37</v>
      </c>
      <c r="O7" s="23" t="s">
        <v>38</v>
      </c>
      <c r="P7" s="24" t="s">
        <v>39</v>
      </c>
    </row>
    <row r="8" spans="1:27" ht="28.8" x14ac:dyDescent="0.3">
      <c r="A8" s="25">
        <v>1</v>
      </c>
      <c r="B8" s="26" t="s">
        <v>77</v>
      </c>
      <c r="C8" s="33" t="s">
        <v>40</v>
      </c>
      <c r="D8" s="64"/>
      <c r="G8" s="27">
        <v>1</v>
      </c>
      <c r="H8" s="28" t="s">
        <v>77</v>
      </c>
      <c r="I8" s="33" t="s">
        <v>40</v>
      </c>
      <c r="J8" s="70"/>
      <c r="M8" s="27">
        <v>1</v>
      </c>
      <c r="N8" s="28" t="s">
        <v>77</v>
      </c>
      <c r="O8" s="33" t="s">
        <v>40</v>
      </c>
      <c r="P8" s="70"/>
    </row>
    <row r="9" spans="1:27" ht="28.8" x14ac:dyDescent="0.3">
      <c r="A9" s="25">
        <v>2</v>
      </c>
      <c r="B9" s="26" t="s">
        <v>78</v>
      </c>
      <c r="C9" s="33" t="s">
        <v>40</v>
      </c>
      <c r="D9" s="65"/>
      <c r="G9" s="29">
        <v>2</v>
      </c>
      <c r="H9" s="30" t="s">
        <v>78</v>
      </c>
      <c r="I9" s="33" t="s">
        <v>40</v>
      </c>
      <c r="J9" s="71"/>
      <c r="M9" s="29">
        <v>2</v>
      </c>
      <c r="N9" s="30" t="s">
        <v>78</v>
      </c>
      <c r="O9" s="33" t="s">
        <v>40</v>
      </c>
      <c r="P9" s="66"/>
    </row>
    <row r="10" spans="1:27" ht="43.2" x14ac:dyDescent="0.3">
      <c r="A10" s="25">
        <v>3</v>
      </c>
      <c r="B10" s="26" t="s">
        <v>79</v>
      </c>
      <c r="C10" s="33" t="s">
        <v>40</v>
      </c>
      <c r="D10" s="64"/>
      <c r="G10" s="27">
        <v>3</v>
      </c>
      <c r="H10" s="28" t="s">
        <v>79</v>
      </c>
      <c r="I10" s="33" t="s">
        <v>40</v>
      </c>
      <c r="J10" s="72"/>
      <c r="M10" s="27">
        <v>3</v>
      </c>
      <c r="N10" s="28" t="s">
        <v>79</v>
      </c>
      <c r="O10" s="33" t="s">
        <v>40</v>
      </c>
      <c r="P10" s="72"/>
    </row>
    <row r="11" spans="1:27" ht="28.8" x14ac:dyDescent="0.3">
      <c r="A11" s="25">
        <v>4</v>
      </c>
      <c r="B11" s="26" t="s">
        <v>80</v>
      </c>
      <c r="C11" s="66"/>
      <c r="D11" s="33" t="s">
        <v>40</v>
      </c>
      <c r="G11" s="29">
        <v>4</v>
      </c>
      <c r="H11" s="30" t="s">
        <v>80</v>
      </c>
      <c r="I11" s="66"/>
      <c r="J11" s="33" t="s">
        <v>40</v>
      </c>
      <c r="M11" s="29">
        <v>4</v>
      </c>
      <c r="N11" s="30" t="s">
        <v>80</v>
      </c>
      <c r="O11" s="66"/>
      <c r="P11" s="33" t="s">
        <v>40</v>
      </c>
    </row>
    <row r="12" spans="1:27" ht="28.8" x14ac:dyDescent="0.3">
      <c r="A12" s="25">
        <v>5</v>
      </c>
      <c r="B12" s="26" t="s">
        <v>81</v>
      </c>
      <c r="C12" s="33" t="s">
        <v>40</v>
      </c>
      <c r="D12" s="64"/>
      <c r="G12" s="27">
        <v>5</v>
      </c>
      <c r="H12" s="28" t="s">
        <v>81</v>
      </c>
      <c r="I12" s="33" t="s">
        <v>40</v>
      </c>
      <c r="J12" s="70"/>
      <c r="M12" s="27">
        <v>5</v>
      </c>
      <c r="N12" s="28" t="s">
        <v>81</v>
      </c>
      <c r="O12" s="33" t="s">
        <v>40</v>
      </c>
      <c r="P12" s="72"/>
    </row>
    <row r="13" spans="1:27" ht="28.8" x14ac:dyDescent="0.3">
      <c r="A13" s="25">
        <v>6</v>
      </c>
      <c r="B13" s="26" t="s">
        <v>82</v>
      </c>
      <c r="C13" s="33" t="s">
        <v>40</v>
      </c>
      <c r="D13" s="65"/>
      <c r="G13" s="29">
        <v>6</v>
      </c>
      <c r="H13" s="30" t="s">
        <v>82</v>
      </c>
      <c r="I13" s="33" t="s">
        <v>40</v>
      </c>
      <c r="J13" s="71"/>
      <c r="M13" s="29">
        <v>6</v>
      </c>
      <c r="N13" s="30" t="s">
        <v>82</v>
      </c>
      <c r="O13" s="33" t="s">
        <v>40</v>
      </c>
      <c r="P13" s="66"/>
    </row>
    <row r="14" spans="1:27" ht="28.8" x14ac:dyDescent="0.3">
      <c r="A14" s="25">
        <v>7</v>
      </c>
      <c r="B14" s="26" t="s">
        <v>83</v>
      </c>
      <c r="C14" s="33" t="s">
        <v>40</v>
      </c>
      <c r="D14" s="64"/>
      <c r="G14" s="27">
        <v>7</v>
      </c>
      <c r="H14" s="28" t="s">
        <v>83</v>
      </c>
      <c r="I14" s="72"/>
      <c r="J14" s="33" t="s">
        <v>40</v>
      </c>
      <c r="M14" s="27">
        <v>7</v>
      </c>
      <c r="N14" s="28" t="s">
        <v>83</v>
      </c>
      <c r="O14" s="33" t="s">
        <v>40</v>
      </c>
      <c r="P14" s="72"/>
    </row>
    <row r="15" spans="1:27" ht="28.8" x14ac:dyDescent="0.3">
      <c r="A15" s="25">
        <v>8</v>
      </c>
      <c r="B15" s="26" t="s">
        <v>84</v>
      </c>
      <c r="C15" s="33" t="s">
        <v>40</v>
      </c>
      <c r="D15" s="65"/>
      <c r="G15" s="29">
        <v>8</v>
      </c>
      <c r="H15" s="30" t="s">
        <v>84</v>
      </c>
      <c r="I15" s="33" t="s">
        <v>40</v>
      </c>
      <c r="J15" s="71"/>
      <c r="M15" s="29">
        <v>8</v>
      </c>
      <c r="N15" s="30" t="s">
        <v>84</v>
      </c>
      <c r="O15" s="33" t="s">
        <v>40</v>
      </c>
      <c r="P15" s="71"/>
    </row>
    <row r="16" spans="1:27" ht="43.2" x14ac:dyDescent="0.3">
      <c r="A16" s="31">
        <v>9</v>
      </c>
      <c r="B16" s="32" t="s">
        <v>85</v>
      </c>
      <c r="C16" s="67"/>
      <c r="D16" s="33" t="s">
        <v>40</v>
      </c>
      <c r="G16" s="34">
        <v>9</v>
      </c>
      <c r="H16" s="35" t="s">
        <v>85</v>
      </c>
      <c r="I16" s="73"/>
      <c r="J16" s="33" t="s">
        <v>40</v>
      </c>
      <c r="M16" s="34">
        <v>9</v>
      </c>
      <c r="N16" s="35" t="s">
        <v>85</v>
      </c>
      <c r="O16" s="73"/>
      <c r="P16" s="33" t="s">
        <v>40</v>
      </c>
    </row>
    <row r="17" spans="1:16" ht="18" x14ac:dyDescent="0.35">
      <c r="A17" s="100" t="s">
        <v>41</v>
      </c>
      <c r="B17" s="78"/>
      <c r="C17" s="9">
        <f>COUNTA(C8:C16)</f>
        <v>7</v>
      </c>
      <c r="D17" s="9">
        <f>COUNTA(D8:D16)</f>
        <v>2</v>
      </c>
      <c r="G17" s="96" t="s">
        <v>41</v>
      </c>
      <c r="H17" s="78"/>
      <c r="I17" s="37">
        <f>COUNTA(I8:I16)</f>
        <v>6</v>
      </c>
      <c r="J17" s="37">
        <f>COUNTA(J8:J16)</f>
        <v>3</v>
      </c>
      <c r="M17" s="96" t="s">
        <v>41</v>
      </c>
      <c r="N17" s="78"/>
      <c r="O17" s="37">
        <f>COUNTA(O8:O16)</f>
        <v>7</v>
      </c>
      <c r="P17" s="37">
        <f>COUNTA(P8:P16)</f>
        <v>2</v>
      </c>
    </row>
    <row r="18" spans="1:16" ht="18" x14ac:dyDescent="0.35">
      <c r="A18" s="100" t="s">
        <v>42</v>
      </c>
      <c r="B18" s="78"/>
      <c r="C18" s="69">
        <f t="shared" ref="C18:D18" si="0">C17/9</f>
        <v>0.77777777777777779</v>
      </c>
      <c r="D18" s="69">
        <f t="shared" si="0"/>
        <v>0.22222222222222221</v>
      </c>
      <c r="G18" s="96" t="s">
        <v>42</v>
      </c>
      <c r="H18" s="78"/>
      <c r="I18" s="75">
        <f t="shared" ref="I18:J18" si="1">I17/9</f>
        <v>0.66666666666666663</v>
      </c>
      <c r="J18" s="75">
        <f t="shared" si="1"/>
        <v>0.33333333333333331</v>
      </c>
      <c r="M18" s="96" t="s">
        <v>42</v>
      </c>
      <c r="N18" s="78"/>
      <c r="O18" s="75">
        <f t="shared" ref="O18:P18" si="2">O17/9</f>
        <v>0.77777777777777779</v>
      </c>
      <c r="P18" s="75">
        <f t="shared" si="2"/>
        <v>0.22222222222222221</v>
      </c>
    </row>
    <row r="19" spans="1:16" ht="18" x14ac:dyDescent="0.3">
      <c r="A19" s="36"/>
      <c r="B19" s="36"/>
      <c r="C19" s="38"/>
      <c r="D19" s="9"/>
      <c r="G19" s="9"/>
      <c r="H19" s="9"/>
      <c r="I19" s="38"/>
      <c r="J19" s="9"/>
      <c r="M19" s="9"/>
      <c r="N19" s="9"/>
      <c r="O19" s="38"/>
      <c r="P19" s="9"/>
    </row>
    <row r="20" spans="1:16" ht="23.4" x14ac:dyDescent="0.45">
      <c r="A20" s="93" t="s">
        <v>43</v>
      </c>
      <c r="B20" s="94"/>
      <c r="C20" s="94"/>
      <c r="D20" s="94"/>
      <c r="G20" s="95" t="s">
        <v>43</v>
      </c>
      <c r="H20" s="94"/>
      <c r="I20" s="94"/>
      <c r="J20" s="94"/>
      <c r="M20" s="95" t="s">
        <v>43</v>
      </c>
      <c r="N20" s="94"/>
      <c r="O20" s="94"/>
      <c r="P20" s="94"/>
    </row>
    <row r="21" spans="1:16" ht="21" x14ac:dyDescent="0.4">
      <c r="A21" s="39" t="s">
        <v>36</v>
      </c>
      <c r="B21" s="40" t="s">
        <v>37</v>
      </c>
      <c r="C21" s="41" t="s">
        <v>38</v>
      </c>
      <c r="D21" s="42" t="s">
        <v>39</v>
      </c>
      <c r="G21" s="43" t="s">
        <v>36</v>
      </c>
      <c r="H21" s="44" t="s">
        <v>37</v>
      </c>
      <c r="I21" s="45" t="s">
        <v>38</v>
      </c>
      <c r="J21" s="46" t="s">
        <v>39</v>
      </c>
      <c r="M21" s="43" t="s">
        <v>36</v>
      </c>
      <c r="N21" s="44" t="s">
        <v>37</v>
      </c>
      <c r="O21" s="45" t="s">
        <v>38</v>
      </c>
      <c r="P21" s="46" t="s">
        <v>39</v>
      </c>
    </row>
    <row r="22" spans="1:16" ht="28.8" x14ac:dyDescent="0.3">
      <c r="A22" s="25">
        <v>1</v>
      </c>
      <c r="B22" s="26" t="s">
        <v>86</v>
      </c>
      <c r="C22" s="33" t="s">
        <v>40</v>
      </c>
      <c r="D22" s="64"/>
      <c r="G22" s="47">
        <v>1</v>
      </c>
      <c r="H22" s="48" t="s">
        <v>86</v>
      </c>
      <c r="I22" s="33" t="s">
        <v>40</v>
      </c>
      <c r="J22" s="70"/>
      <c r="M22" s="47">
        <v>1</v>
      </c>
      <c r="N22" s="48" t="s">
        <v>86</v>
      </c>
      <c r="O22" s="33" t="s">
        <v>40</v>
      </c>
      <c r="P22" s="70"/>
    </row>
    <row r="23" spans="1:16" ht="28.8" x14ac:dyDescent="0.3">
      <c r="A23" s="25">
        <v>2</v>
      </c>
      <c r="B23" s="26" t="s">
        <v>87</v>
      </c>
      <c r="C23" s="33" t="s">
        <v>40</v>
      </c>
      <c r="D23" s="65"/>
      <c r="G23" s="29">
        <v>2</v>
      </c>
      <c r="H23" s="30" t="s">
        <v>87</v>
      </c>
      <c r="I23" s="33" t="s">
        <v>40</v>
      </c>
      <c r="J23" s="71"/>
      <c r="M23" s="29">
        <v>2</v>
      </c>
      <c r="N23" s="30" t="s">
        <v>87</v>
      </c>
      <c r="O23" s="33" t="s">
        <v>40</v>
      </c>
      <c r="P23" s="71"/>
    </row>
    <row r="24" spans="1:16" ht="28.8" x14ac:dyDescent="0.3">
      <c r="A24" s="25">
        <v>3</v>
      </c>
      <c r="B24" s="26" t="s">
        <v>88</v>
      </c>
      <c r="C24" s="33" t="s">
        <v>40</v>
      </c>
      <c r="D24" s="64"/>
      <c r="G24" s="47">
        <v>3</v>
      </c>
      <c r="H24" s="48" t="s">
        <v>88</v>
      </c>
      <c r="I24" s="33" t="s">
        <v>40</v>
      </c>
      <c r="J24" s="70"/>
      <c r="M24" s="47">
        <v>3</v>
      </c>
      <c r="N24" s="48" t="s">
        <v>88</v>
      </c>
      <c r="O24" s="33" t="s">
        <v>40</v>
      </c>
      <c r="P24" s="70"/>
    </row>
    <row r="25" spans="1:16" ht="28.8" x14ac:dyDescent="0.3">
      <c r="A25" s="25">
        <v>4</v>
      </c>
      <c r="B25" s="26" t="s">
        <v>89</v>
      </c>
      <c r="C25" s="33" t="s">
        <v>40</v>
      </c>
      <c r="D25" s="65"/>
      <c r="G25" s="29">
        <v>4</v>
      </c>
      <c r="H25" s="30" t="s">
        <v>89</v>
      </c>
      <c r="I25" s="66"/>
      <c r="J25" s="33" t="s">
        <v>40</v>
      </c>
      <c r="M25" s="29">
        <v>4</v>
      </c>
      <c r="N25" s="30" t="s">
        <v>89</v>
      </c>
      <c r="O25" s="66"/>
      <c r="P25" s="33" t="s">
        <v>40</v>
      </c>
    </row>
    <row r="26" spans="1:16" ht="28.8" x14ac:dyDescent="0.3">
      <c r="A26" s="31">
        <v>5</v>
      </c>
      <c r="B26" s="32" t="s">
        <v>90</v>
      </c>
      <c r="C26" s="33" t="s">
        <v>40</v>
      </c>
      <c r="D26" s="68"/>
      <c r="G26" s="49">
        <v>5</v>
      </c>
      <c r="H26" s="50" t="s">
        <v>90</v>
      </c>
      <c r="I26" s="33" t="s">
        <v>40</v>
      </c>
      <c r="J26" s="74"/>
      <c r="M26" s="49">
        <v>5</v>
      </c>
      <c r="N26" s="50" t="s">
        <v>90</v>
      </c>
      <c r="O26" s="33" t="s">
        <v>40</v>
      </c>
      <c r="P26" s="74"/>
    </row>
    <row r="27" spans="1:16" ht="18" x14ac:dyDescent="0.35">
      <c r="A27" s="100" t="s">
        <v>41</v>
      </c>
      <c r="B27" s="78"/>
      <c r="C27" s="9">
        <f>COUNTA(C22:C26)</f>
        <v>5</v>
      </c>
      <c r="D27" s="9">
        <f>COUNTA(D22:D26)</f>
        <v>0</v>
      </c>
      <c r="G27" s="96" t="s">
        <v>41</v>
      </c>
      <c r="H27" s="78"/>
      <c r="I27" s="37">
        <f>COUNTA(I22:I26)</f>
        <v>4</v>
      </c>
      <c r="J27" s="37">
        <f>COUNTA(J22:J26)</f>
        <v>1</v>
      </c>
      <c r="M27" s="96" t="s">
        <v>41</v>
      </c>
      <c r="N27" s="78"/>
      <c r="O27" s="37">
        <f>COUNTA(O22:O26)</f>
        <v>4</v>
      </c>
      <c r="P27" s="37">
        <f>COUNTA(P22:P26)</f>
        <v>1</v>
      </c>
    </row>
    <row r="28" spans="1:16" ht="18" x14ac:dyDescent="0.35">
      <c r="A28" s="100" t="s">
        <v>42</v>
      </c>
      <c r="B28" s="78"/>
      <c r="C28" s="69">
        <f t="shared" ref="C28:D28" si="3">C27/5</f>
        <v>1</v>
      </c>
      <c r="D28" s="69">
        <f t="shared" si="3"/>
        <v>0</v>
      </c>
      <c r="G28" s="96" t="s">
        <v>42</v>
      </c>
      <c r="H28" s="78"/>
      <c r="I28" s="75">
        <f t="shared" ref="I28:J28" si="4">I27/5</f>
        <v>0.8</v>
      </c>
      <c r="J28" s="75">
        <f t="shared" si="4"/>
        <v>0.2</v>
      </c>
      <c r="M28" s="96" t="s">
        <v>42</v>
      </c>
      <c r="N28" s="78"/>
      <c r="O28" s="75">
        <f t="shared" ref="O28:P28" si="5">O27/5</f>
        <v>0.8</v>
      </c>
      <c r="P28" s="75">
        <f t="shared" si="5"/>
        <v>0.2</v>
      </c>
    </row>
    <row r="29" spans="1:16" ht="18" x14ac:dyDescent="0.3">
      <c r="A29" s="36"/>
      <c r="B29" s="36"/>
      <c r="C29" s="38"/>
      <c r="D29" s="9"/>
      <c r="G29" s="9"/>
      <c r="H29" s="9"/>
      <c r="I29" s="38"/>
      <c r="J29" s="9"/>
      <c r="M29" s="9"/>
      <c r="N29" s="9"/>
      <c r="O29" s="38"/>
      <c r="P29" s="9"/>
    </row>
    <row r="30" spans="1:16" ht="23.4" x14ac:dyDescent="0.45">
      <c r="A30" s="103" t="s">
        <v>44</v>
      </c>
      <c r="B30" s="78"/>
      <c r="C30" s="78"/>
      <c r="D30" s="78"/>
      <c r="G30" s="104" t="s">
        <v>44</v>
      </c>
      <c r="H30" s="78"/>
      <c r="I30" s="78"/>
      <c r="J30" s="78"/>
      <c r="M30" s="104" t="s">
        <v>44</v>
      </c>
      <c r="N30" s="78"/>
      <c r="O30" s="78"/>
      <c r="P30" s="78"/>
    </row>
    <row r="31" spans="1:16" ht="21" x14ac:dyDescent="0.4">
      <c r="A31" s="39" t="s">
        <v>36</v>
      </c>
      <c r="B31" s="40" t="s">
        <v>37</v>
      </c>
      <c r="C31" s="41" t="s">
        <v>38</v>
      </c>
      <c r="D31" s="42" t="s">
        <v>39</v>
      </c>
      <c r="G31" s="51" t="s">
        <v>36</v>
      </c>
      <c r="H31" s="52" t="s">
        <v>37</v>
      </c>
      <c r="I31" s="53" t="s">
        <v>38</v>
      </c>
      <c r="J31" s="54" t="s">
        <v>39</v>
      </c>
      <c r="M31" s="51" t="s">
        <v>36</v>
      </c>
      <c r="N31" s="52" t="s">
        <v>37</v>
      </c>
      <c r="O31" s="53" t="s">
        <v>38</v>
      </c>
      <c r="P31" s="54" t="s">
        <v>39</v>
      </c>
    </row>
    <row r="32" spans="1:16" ht="28.8" x14ac:dyDescent="0.3">
      <c r="A32" s="25">
        <v>1</v>
      </c>
      <c r="B32" s="26" t="s">
        <v>91</v>
      </c>
      <c r="C32" s="33" t="s">
        <v>40</v>
      </c>
      <c r="D32" s="33"/>
      <c r="G32" s="55">
        <v>1</v>
      </c>
      <c r="H32" s="56" t="s">
        <v>91</v>
      </c>
      <c r="I32" s="33" t="s">
        <v>40</v>
      </c>
      <c r="J32" s="33"/>
      <c r="M32" s="55">
        <v>1</v>
      </c>
      <c r="N32" s="56" t="s">
        <v>91</v>
      </c>
      <c r="O32" s="33" t="s">
        <v>40</v>
      </c>
      <c r="P32" s="33"/>
    </row>
    <row r="33" spans="1:16" ht="43.2" x14ac:dyDescent="0.3">
      <c r="A33" s="25">
        <v>2</v>
      </c>
      <c r="B33" s="26" t="s">
        <v>92</v>
      </c>
      <c r="C33" s="33" t="s">
        <v>40</v>
      </c>
      <c r="D33" s="33"/>
      <c r="G33" s="29">
        <v>2</v>
      </c>
      <c r="H33" s="30" t="s">
        <v>92</v>
      </c>
      <c r="I33" s="33" t="s">
        <v>40</v>
      </c>
      <c r="J33" s="33"/>
      <c r="M33" s="29">
        <v>2</v>
      </c>
      <c r="N33" s="30" t="s">
        <v>92</v>
      </c>
      <c r="O33" s="33" t="s">
        <v>40</v>
      </c>
      <c r="P33" s="33"/>
    </row>
    <row r="34" spans="1:16" ht="35.4" customHeight="1" x14ac:dyDescent="0.3">
      <c r="A34" s="31">
        <v>3</v>
      </c>
      <c r="B34" s="32" t="s">
        <v>93</v>
      </c>
      <c r="C34" s="33" t="s">
        <v>40</v>
      </c>
      <c r="D34" s="33"/>
      <c r="G34" s="57">
        <v>3</v>
      </c>
      <c r="H34" s="58" t="s">
        <v>93</v>
      </c>
      <c r="I34" s="33" t="s">
        <v>40</v>
      </c>
      <c r="J34" s="33"/>
      <c r="M34" s="57">
        <v>3</v>
      </c>
      <c r="N34" s="58" t="s">
        <v>93</v>
      </c>
      <c r="O34" s="33" t="s">
        <v>40</v>
      </c>
      <c r="P34" s="33"/>
    </row>
    <row r="35" spans="1:16" ht="18" x14ac:dyDescent="0.35">
      <c r="A35" s="100" t="s">
        <v>41</v>
      </c>
      <c r="B35" s="78"/>
      <c r="C35" s="9">
        <f>COUNTA(C32:C34)</f>
        <v>3</v>
      </c>
      <c r="D35" s="9">
        <f>COUNTA(D32:D34)</f>
        <v>0</v>
      </c>
      <c r="G35" s="96" t="s">
        <v>41</v>
      </c>
      <c r="H35" s="78"/>
      <c r="I35" s="37">
        <f>COUNTA(I32:I34)</f>
        <v>3</v>
      </c>
      <c r="J35" s="37">
        <f>COUNTA(J32:J34)</f>
        <v>0</v>
      </c>
      <c r="M35" s="96" t="s">
        <v>41</v>
      </c>
      <c r="N35" s="78"/>
      <c r="O35" s="37">
        <f>COUNTA(O32:O34)</f>
        <v>3</v>
      </c>
      <c r="P35" s="37">
        <f>COUNTA(P32:P34)</f>
        <v>0</v>
      </c>
    </row>
    <row r="36" spans="1:16" ht="18" x14ac:dyDescent="0.35">
      <c r="A36" s="100" t="s">
        <v>42</v>
      </c>
      <c r="B36" s="78"/>
      <c r="C36" s="69">
        <f t="shared" ref="C36:D36" si="6">C35/3</f>
        <v>1</v>
      </c>
      <c r="D36" s="69">
        <f t="shared" si="6"/>
        <v>0</v>
      </c>
      <c r="G36" s="96" t="s">
        <v>42</v>
      </c>
      <c r="H36" s="78"/>
      <c r="I36" s="75">
        <f t="shared" ref="I36:J36" si="7">I35/3</f>
        <v>1</v>
      </c>
      <c r="J36" s="75">
        <f t="shared" si="7"/>
        <v>0</v>
      </c>
      <c r="M36" s="96" t="s">
        <v>42</v>
      </c>
      <c r="N36" s="78"/>
      <c r="O36" s="75">
        <f t="shared" ref="O36:P36" si="8">O35/3</f>
        <v>1</v>
      </c>
      <c r="P36" s="75">
        <f t="shared" si="8"/>
        <v>0</v>
      </c>
    </row>
    <row r="37" spans="1:16" ht="14.4" x14ac:dyDescent="0.3">
      <c r="G37" s="9"/>
      <c r="H37" s="9"/>
      <c r="I37" s="9"/>
      <c r="J37" s="9"/>
      <c r="M37" s="9"/>
      <c r="N37" s="9"/>
      <c r="O37" s="9"/>
      <c r="P37" s="9"/>
    </row>
    <row r="38" spans="1:16" ht="14.4" x14ac:dyDescent="0.3">
      <c r="G38" s="9"/>
      <c r="H38" s="9"/>
      <c r="I38" s="9"/>
      <c r="J38" s="9"/>
      <c r="M38" s="9"/>
      <c r="N38" s="9"/>
      <c r="O38" s="9"/>
      <c r="P38" s="9"/>
    </row>
    <row r="39" spans="1:16" ht="14.4" x14ac:dyDescent="0.3">
      <c r="G39" s="9"/>
      <c r="H39" s="9"/>
      <c r="I39" s="9"/>
      <c r="J39" s="9"/>
      <c r="M39" s="9"/>
      <c r="N39" s="9"/>
      <c r="O39" s="9"/>
      <c r="P39" s="9"/>
    </row>
    <row r="40" spans="1:16" ht="18" x14ac:dyDescent="0.35">
      <c r="A40" s="105" t="s">
        <v>45</v>
      </c>
      <c r="B40" s="78"/>
      <c r="C40" s="78"/>
      <c r="G40" s="105" t="s">
        <v>45</v>
      </c>
      <c r="H40" s="78"/>
      <c r="I40" s="78"/>
      <c r="J40" s="9"/>
      <c r="N40" s="105" t="s">
        <v>45</v>
      </c>
      <c r="O40" s="78"/>
      <c r="P40" s="9"/>
    </row>
    <row r="41" spans="1:16" ht="14.4" x14ac:dyDescent="0.3">
      <c r="B41" s="17" t="s">
        <v>46</v>
      </c>
      <c r="C41" s="69">
        <f>C18</f>
        <v>0.77777777777777779</v>
      </c>
      <c r="G41" s="9"/>
      <c r="H41" s="17" t="s">
        <v>46</v>
      </c>
      <c r="I41" s="75">
        <f>I18</f>
        <v>0.66666666666666663</v>
      </c>
      <c r="J41" s="9"/>
      <c r="M41" s="9"/>
      <c r="N41" s="17" t="s">
        <v>46</v>
      </c>
      <c r="O41" s="75">
        <f>O18</f>
        <v>0.77777777777777779</v>
      </c>
      <c r="P41" s="9"/>
    </row>
    <row r="42" spans="1:16" ht="14.4" x14ac:dyDescent="0.3">
      <c r="B42" s="17" t="s">
        <v>43</v>
      </c>
      <c r="C42" s="69">
        <f>C28</f>
        <v>1</v>
      </c>
      <c r="G42" s="9"/>
      <c r="H42" s="17" t="s">
        <v>43</v>
      </c>
      <c r="I42" s="75">
        <f>I28</f>
        <v>0.8</v>
      </c>
      <c r="J42" s="9"/>
      <c r="M42" s="9"/>
      <c r="N42" s="17" t="s">
        <v>43</v>
      </c>
      <c r="O42" s="75">
        <f>O28</f>
        <v>0.8</v>
      </c>
      <c r="P42" s="9"/>
    </row>
    <row r="43" spans="1:16" ht="14.4" x14ac:dyDescent="0.3">
      <c r="B43" s="17" t="s">
        <v>44</v>
      </c>
      <c r="C43" s="69">
        <f>C36</f>
        <v>1</v>
      </c>
      <c r="G43" s="9"/>
      <c r="H43" s="17" t="s">
        <v>44</v>
      </c>
      <c r="I43" s="75">
        <f>I36</f>
        <v>1</v>
      </c>
      <c r="J43" s="9"/>
      <c r="M43" s="9"/>
      <c r="N43" s="17" t="s">
        <v>44</v>
      </c>
      <c r="O43" s="75">
        <f>O36</f>
        <v>1</v>
      </c>
      <c r="P43" s="9"/>
    </row>
    <row r="44" spans="1:16" ht="14.4" x14ac:dyDescent="0.3">
      <c r="C44" s="9"/>
      <c r="G44" s="9"/>
      <c r="H44" s="9"/>
      <c r="I44" s="9"/>
      <c r="J44" s="9"/>
      <c r="M44" s="9"/>
      <c r="N44" s="9"/>
      <c r="O44" s="9"/>
      <c r="P44" s="9"/>
    </row>
    <row r="45" spans="1:16" ht="14.4" x14ac:dyDescent="0.3">
      <c r="C45" s="9"/>
    </row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6">
    <mergeCell ref="N1:P1"/>
    <mergeCell ref="G40:I40"/>
    <mergeCell ref="N40:O40"/>
    <mergeCell ref="I4:J4"/>
    <mergeCell ref="G4:H4"/>
    <mergeCell ref="M35:N35"/>
    <mergeCell ref="M36:N36"/>
    <mergeCell ref="M27:N27"/>
    <mergeCell ref="M28:N28"/>
    <mergeCell ref="N3:P3"/>
    <mergeCell ref="N2:P2"/>
    <mergeCell ref="M30:P30"/>
    <mergeCell ref="M6:P6"/>
    <mergeCell ref="M17:N17"/>
    <mergeCell ref="M18:N18"/>
    <mergeCell ref="G28:H28"/>
    <mergeCell ref="A40:C40"/>
    <mergeCell ref="H1:J1"/>
    <mergeCell ref="H2:J2"/>
    <mergeCell ref="B1:D1"/>
    <mergeCell ref="B2:D2"/>
    <mergeCell ref="A35:B35"/>
    <mergeCell ref="G35:H35"/>
    <mergeCell ref="A36:B36"/>
    <mergeCell ref="G36:H36"/>
    <mergeCell ref="A30:D30"/>
    <mergeCell ref="G30:J30"/>
    <mergeCell ref="H3:J3"/>
    <mergeCell ref="B3:D3"/>
    <mergeCell ref="A27:B27"/>
    <mergeCell ref="G27:H27"/>
    <mergeCell ref="A28:B28"/>
    <mergeCell ref="A20:D20"/>
    <mergeCell ref="G20:J20"/>
    <mergeCell ref="M20:P20"/>
    <mergeCell ref="G18:H18"/>
    <mergeCell ref="O4:P4"/>
    <mergeCell ref="J5:K5"/>
    <mergeCell ref="M4:N4"/>
    <mergeCell ref="A18:B18"/>
    <mergeCell ref="C4:D4"/>
    <mergeCell ref="A4:B4"/>
    <mergeCell ref="A6:D6"/>
    <mergeCell ref="G6:J6"/>
    <mergeCell ref="A17:B17"/>
    <mergeCell ref="G17:H17"/>
  </mergeCells>
  <conditionalFormatting sqref="C8">
    <cfRule type="containsText" dxfId="291" priority="348" operator="containsText" text="X">
      <formula>NOT(ISERROR(SEARCH(("X"),(C8))))</formula>
    </cfRule>
    <cfRule type="containsText" dxfId="290" priority="347" operator="containsText" text="X">
      <formula>NOT(ISERROR(SEARCH(("X"),(C8))))</formula>
    </cfRule>
    <cfRule type="containsText" dxfId="289" priority="346" operator="containsText" text="X">
      <formula>NOT(ISERROR(SEARCH(("X"),(C8))))</formula>
    </cfRule>
    <cfRule type="containsText" dxfId="288" priority="345" operator="containsText" text="X">
      <formula>NOT(ISERROR(SEARCH(("X"),(C8))))</formula>
    </cfRule>
  </conditionalFormatting>
  <conditionalFormatting sqref="C8:C9">
    <cfRule type="containsText" dxfId="287" priority="342" operator="containsText" text="X">
      <formula>NOT(ISERROR(SEARCH(("X"),(C8))))</formula>
    </cfRule>
    <cfRule type="containsText" dxfId="286" priority="341" operator="containsText" text="X">
      <formula>NOT(ISERROR(SEARCH(("X"),(C8))))</formula>
    </cfRule>
  </conditionalFormatting>
  <conditionalFormatting sqref="C9">
    <cfRule type="containsText" dxfId="285" priority="340" operator="containsText" text="X">
      <formula>NOT(ISERROR(SEARCH(("X"),(C9))))</formula>
    </cfRule>
    <cfRule type="containsText" dxfId="284" priority="339" operator="containsText" text="X">
      <formula>NOT(ISERROR(SEARCH(("X"),(C9))))</formula>
    </cfRule>
  </conditionalFormatting>
  <conditionalFormatting sqref="C9:C10">
    <cfRule type="containsText" dxfId="283" priority="336" operator="containsText" text="X">
      <formula>NOT(ISERROR(SEARCH(("X"),(C9))))</formula>
    </cfRule>
    <cfRule type="containsText" dxfId="282" priority="335" operator="containsText" text="X">
      <formula>NOT(ISERROR(SEARCH(("X"),(C9))))</formula>
    </cfRule>
  </conditionalFormatting>
  <conditionalFormatting sqref="C10">
    <cfRule type="containsText" dxfId="281" priority="331" operator="containsText" text="X">
      <formula>NOT(ISERROR(SEARCH(("X"),(C10))))</formula>
    </cfRule>
    <cfRule type="containsText" dxfId="280" priority="333" operator="containsText" text="X">
      <formula>NOT(ISERROR(SEARCH(("X"),(C10))))</formula>
    </cfRule>
    <cfRule type="containsText" dxfId="279" priority="332" operator="containsText" text="X">
      <formula>NOT(ISERROR(SEARCH(("X"),(C10))))</formula>
    </cfRule>
    <cfRule type="containsText" dxfId="278" priority="334" operator="containsText" text="X">
      <formula>NOT(ISERROR(SEARCH(("X"),(C10))))</formula>
    </cfRule>
  </conditionalFormatting>
  <conditionalFormatting sqref="C11 I11 O11 I14 C16 I16 O16 I25 O25">
    <cfRule type="cellIs" dxfId="277" priority="349" operator="equal">
      <formula>"X"</formula>
    </cfRule>
  </conditionalFormatting>
  <conditionalFormatting sqref="C12">
    <cfRule type="containsText" dxfId="276" priority="324" operator="containsText" text="X">
      <formula>NOT(ISERROR(SEARCH(("X"),(C12))))</formula>
    </cfRule>
    <cfRule type="containsText" dxfId="275" priority="322" operator="containsText" text="X">
      <formula>NOT(ISERROR(SEARCH(("X"),(C12))))</formula>
    </cfRule>
    <cfRule type="containsText" dxfId="274" priority="321" operator="containsText" text="X">
      <formula>NOT(ISERROR(SEARCH(("X"),(C12))))</formula>
    </cfRule>
    <cfRule type="containsText" dxfId="273" priority="323" operator="containsText" text="X">
      <formula>NOT(ISERROR(SEARCH(("X"),(C12))))</formula>
    </cfRule>
  </conditionalFormatting>
  <conditionalFormatting sqref="C12:C13">
    <cfRule type="containsText" dxfId="272" priority="317" operator="containsText" text="X">
      <formula>NOT(ISERROR(SEARCH(("X"),(C12))))</formula>
    </cfRule>
    <cfRule type="containsText" dxfId="271" priority="318" operator="containsText" text="X">
      <formula>NOT(ISERROR(SEARCH(("X"),(C12))))</formula>
    </cfRule>
  </conditionalFormatting>
  <conditionalFormatting sqref="C13">
    <cfRule type="containsText" dxfId="270" priority="315" operator="containsText" text="X">
      <formula>NOT(ISERROR(SEARCH(("X"),(C13))))</formula>
    </cfRule>
    <cfRule type="containsText" dxfId="269" priority="316" operator="containsText" text="X">
      <formula>NOT(ISERROR(SEARCH(("X"),(C13))))</formula>
    </cfRule>
  </conditionalFormatting>
  <conditionalFormatting sqref="C13:C14">
    <cfRule type="containsText" dxfId="268" priority="312" operator="containsText" text="X">
      <formula>NOT(ISERROR(SEARCH(("X"),(C13))))</formula>
    </cfRule>
    <cfRule type="containsText" dxfId="267" priority="311" operator="containsText" text="X">
      <formula>NOT(ISERROR(SEARCH(("X"),(C13))))</formula>
    </cfRule>
  </conditionalFormatting>
  <conditionalFormatting sqref="C14">
    <cfRule type="containsText" dxfId="266" priority="310" operator="containsText" text="X">
      <formula>NOT(ISERROR(SEARCH(("X"),(C14))))</formula>
    </cfRule>
    <cfRule type="containsText" dxfId="265" priority="309" operator="containsText" text="X">
      <formula>NOT(ISERROR(SEARCH(("X"),(C14))))</formula>
    </cfRule>
  </conditionalFormatting>
  <conditionalFormatting sqref="C14:C15">
    <cfRule type="containsText" dxfId="264" priority="305" operator="containsText" text="X">
      <formula>NOT(ISERROR(SEARCH(("X"),(C14))))</formula>
    </cfRule>
    <cfRule type="containsText" dxfId="263" priority="306" operator="containsText" text="X">
      <formula>NOT(ISERROR(SEARCH(("X"),(C14))))</formula>
    </cfRule>
  </conditionalFormatting>
  <conditionalFormatting sqref="C15">
    <cfRule type="containsText" dxfId="262" priority="304" operator="containsText" text="X">
      <formula>NOT(ISERROR(SEARCH(("X"),(C15))))</formula>
    </cfRule>
    <cfRule type="containsText" dxfId="261" priority="303" operator="containsText" text="X">
      <formula>NOT(ISERROR(SEARCH(("X"),(C15))))</formula>
    </cfRule>
    <cfRule type="containsText" dxfId="260" priority="302" operator="containsText" text="X">
      <formula>NOT(ISERROR(SEARCH(("X"),(C15))))</formula>
    </cfRule>
    <cfRule type="containsText" dxfId="259" priority="301" operator="containsText" text="X">
      <formula>NOT(ISERROR(SEARCH(("X"),(C15))))</formula>
    </cfRule>
  </conditionalFormatting>
  <conditionalFormatting sqref="C22">
    <cfRule type="containsText" dxfId="258" priority="292" operator="containsText" text="X">
      <formula>NOT(ISERROR(SEARCH(("X"),(C22))))</formula>
    </cfRule>
    <cfRule type="containsText" dxfId="257" priority="291" operator="containsText" text="X">
      <formula>NOT(ISERROR(SEARCH(("X"),(C22))))</formula>
    </cfRule>
    <cfRule type="containsText" dxfId="256" priority="293" operator="containsText" text="X">
      <formula>NOT(ISERROR(SEARCH(("X"),(C22))))</formula>
    </cfRule>
    <cfRule type="containsText" dxfId="255" priority="294" operator="containsText" text="X">
      <formula>NOT(ISERROR(SEARCH(("X"),(C22))))</formula>
    </cfRule>
  </conditionalFormatting>
  <conditionalFormatting sqref="C22:C23">
    <cfRule type="containsText" dxfId="254" priority="287" operator="containsText" text="X">
      <formula>NOT(ISERROR(SEARCH(("X"),(C22))))</formula>
    </cfRule>
    <cfRule type="containsText" dxfId="253" priority="288" operator="containsText" text="X">
      <formula>NOT(ISERROR(SEARCH(("X"),(C22))))</formula>
    </cfRule>
  </conditionalFormatting>
  <conditionalFormatting sqref="C23">
    <cfRule type="containsText" dxfId="252" priority="285" operator="containsText" text="X">
      <formula>NOT(ISERROR(SEARCH(("X"),(C23))))</formula>
    </cfRule>
    <cfRule type="containsText" dxfId="251" priority="286" operator="containsText" text="X">
      <formula>NOT(ISERROR(SEARCH(("X"),(C23))))</formula>
    </cfRule>
  </conditionalFormatting>
  <conditionalFormatting sqref="C23:C24">
    <cfRule type="containsText" dxfId="250" priority="281" operator="containsText" text="X">
      <formula>NOT(ISERROR(SEARCH(("X"),(C23))))</formula>
    </cfRule>
    <cfRule type="containsText" dxfId="249" priority="282" operator="containsText" text="X">
      <formula>NOT(ISERROR(SEARCH(("X"),(C23))))</formula>
    </cfRule>
  </conditionalFormatting>
  <conditionalFormatting sqref="C24">
    <cfRule type="containsText" dxfId="248" priority="280" operator="containsText" text="X">
      <formula>NOT(ISERROR(SEARCH(("X"),(C24))))</formula>
    </cfRule>
    <cfRule type="containsText" dxfId="247" priority="279" operator="containsText" text="X">
      <formula>NOT(ISERROR(SEARCH(("X"),(C24))))</formula>
    </cfRule>
  </conditionalFormatting>
  <conditionalFormatting sqref="C24:C25">
    <cfRule type="containsText" dxfId="246" priority="276" operator="containsText" text="X">
      <formula>NOT(ISERROR(SEARCH(("X"),(C24))))</formula>
    </cfRule>
    <cfRule type="containsText" dxfId="245" priority="275" operator="containsText" text="X">
      <formula>NOT(ISERROR(SEARCH(("X"),(C24))))</formula>
    </cfRule>
  </conditionalFormatting>
  <conditionalFormatting sqref="C25">
    <cfRule type="containsText" dxfId="244" priority="273" operator="containsText" text="X">
      <formula>NOT(ISERROR(SEARCH(("X"),(C25))))</formula>
    </cfRule>
    <cfRule type="containsText" dxfId="243" priority="274" operator="containsText" text="X">
      <formula>NOT(ISERROR(SEARCH(("X"),(C25))))</formula>
    </cfRule>
  </conditionalFormatting>
  <conditionalFormatting sqref="C25:C26">
    <cfRule type="containsText" dxfId="242" priority="270" operator="containsText" text="X">
      <formula>NOT(ISERROR(SEARCH(("X"),(C25))))</formula>
    </cfRule>
    <cfRule type="containsText" dxfId="241" priority="269" operator="containsText" text="X">
      <formula>NOT(ISERROR(SEARCH(("X"),(C25))))</formula>
    </cfRule>
  </conditionalFormatting>
  <conditionalFormatting sqref="C26">
    <cfRule type="containsText" dxfId="240" priority="268" operator="containsText" text="X">
      <formula>NOT(ISERROR(SEARCH(("X"),(C26))))</formula>
    </cfRule>
    <cfRule type="containsText" dxfId="239" priority="267" operator="containsText" text="X">
      <formula>NOT(ISERROR(SEARCH(("X"),(C26))))</formula>
    </cfRule>
    <cfRule type="containsText" dxfId="238" priority="266" operator="containsText" text="X">
      <formula>NOT(ISERROR(SEARCH(("X"),(C26))))</formula>
    </cfRule>
    <cfRule type="containsText" dxfId="237" priority="265" operator="containsText" text="X">
      <formula>NOT(ISERROR(SEARCH(("X"),(C26))))</formula>
    </cfRule>
  </conditionalFormatting>
  <conditionalFormatting sqref="D8:D10 J8:J10 P8:P10 J12:J13 D12:D15 P12:P15 J15 J22:J24 P22:P24 D22:D26 J26 P26">
    <cfRule type="cellIs" dxfId="236" priority="350" operator="equal">
      <formula>"X"</formula>
    </cfRule>
  </conditionalFormatting>
  <conditionalFormatting sqref="D11">
    <cfRule type="containsText" dxfId="235" priority="328" operator="containsText" text="X">
      <formula>NOT(ISERROR(SEARCH(("X"),(D11))))</formula>
    </cfRule>
    <cfRule type="containsText" dxfId="234" priority="325" operator="containsText" text="X">
      <formula>NOT(ISERROR(SEARCH(("X"),(D11))))</formula>
    </cfRule>
    <cfRule type="containsText" dxfId="233" priority="326" operator="containsText" text="X">
      <formula>NOT(ISERROR(SEARCH(("X"),(D11))))</formula>
    </cfRule>
    <cfRule type="containsText" dxfId="232" priority="327" operator="containsText" text="X">
      <formula>NOT(ISERROR(SEARCH(("X"),(D11))))</formula>
    </cfRule>
    <cfRule type="containsText" dxfId="231" priority="329" operator="containsText" text="X">
      <formula>NOT(ISERROR(SEARCH(("X"),(D11))))</formula>
    </cfRule>
    <cfRule type="containsText" dxfId="230" priority="330" operator="containsText" text="X">
      <formula>NOT(ISERROR(SEARCH(("X"),(D11))))</formula>
    </cfRule>
  </conditionalFormatting>
  <conditionalFormatting sqref="D16">
    <cfRule type="containsText" dxfId="229" priority="296" operator="containsText" text="X">
      <formula>NOT(ISERROR(SEARCH(("X"),(D16))))</formula>
    </cfRule>
    <cfRule type="containsText" dxfId="228" priority="297" operator="containsText" text="X">
      <formula>NOT(ISERROR(SEARCH(("X"),(D16))))</formula>
    </cfRule>
    <cfRule type="containsText" dxfId="227" priority="298" operator="containsText" text="X">
      <formula>NOT(ISERROR(SEARCH(("X"),(D16))))</formula>
    </cfRule>
    <cfRule type="containsText" dxfId="226" priority="299" operator="containsText" text="X">
      <formula>NOT(ISERROR(SEARCH(("X"),(D16))))</formula>
    </cfRule>
    <cfRule type="containsText" dxfId="225" priority="295" operator="containsText" text="X">
      <formula>NOT(ISERROR(SEARCH(("X"),(D16))))</formula>
    </cfRule>
    <cfRule type="containsText" dxfId="224" priority="300" operator="containsText" text="X">
      <formula>NOT(ISERROR(SEARCH(("X"),(D16))))</formula>
    </cfRule>
  </conditionalFormatting>
  <conditionalFormatting sqref="D32:D34">
    <cfRule type="containsText" dxfId="223" priority="264" operator="containsText" text="X">
      <formula>NOT(ISERROR(SEARCH(("X"),(D32))))</formula>
    </cfRule>
    <cfRule type="containsText" dxfId="222" priority="263" operator="containsText" text="X">
      <formula>NOT(ISERROR(SEARCH(("X"),(D32))))</formula>
    </cfRule>
    <cfRule type="containsText" dxfId="221" priority="262" operator="containsText" text="X">
      <formula>NOT(ISERROR(SEARCH(("X"),(D32))))</formula>
    </cfRule>
    <cfRule type="containsText" dxfId="220" priority="261" operator="containsText" text="X">
      <formula>NOT(ISERROR(SEARCH(("X"),(D32))))</formula>
    </cfRule>
    <cfRule type="containsText" dxfId="219" priority="260" operator="containsText" text="X">
      <formula>NOT(ISERROR(SEARCH(("X"),(D32))))</formula>
    </cfRule>
    <cfRule type="containsText" dxfId="218" priority="259" operator="containsText" text="X">
      <formula>NOT(ISERROR(SEARCH(("X"),(D32))))</formula>
    </cfRule>
  </conditionalFormatting>
  <conditionalFormatting sqref="I8">
    <cfRule type="containsText" dxfId="217" priority="105" operator="containsText" text="X">
      <formula>NOT(ISERROR(SEARCH(("X"),(I8))))</formula>
    </cfRule>
    <cfRule type="containsText" dxfId="216" priority="106" operator="containsText" text="X">
      <formula>NOT(ISERROR(SEARCH(("X"),(I8))))</formula>
    </cfRule>
    <cfRule type="containsText" dxfId="215" priority="107" operator="containsText" text="X">
      <formula>NOT(ISERROR(SEARCH(("X"),(I8))))</formula>
    </cfRule>
    <cfRule type="containsText" dxfId="214" priority="108" operator="containsText" text="X">
      <formula>NOT(ISERROR(SEARCH(("X"),(I8))))</formula>
    </cfRule>
  </conditionalFormatting>
  <conditionalFormatting sqref="I8:I9">
    <cfRule type="containsText" dxfId="213" priority="101" operator="containsText" text="X">
      <formula>NOT(ISERROR(SEARCH(("X"),(I8))))</formula>
    </cfRule>
    <cfRule type="containsText" dxfId="212" priority="102" operator="containsText" text="X">
      <formula>NOT(ISERROR(SEARCH(("X"),(I8))))</formula>
    </cfRule>
  </conditionalFormatting>
  <conditionalFormatting sqref="I9">
    <cfRule type="containsText" dxfId="211" priority="99" operator="containsText" text="X">
      <formula>NOT(ISERROR(SEARCH(("X"),(I9))))</formula>
    </cfRule>
    <cfRule type="containsText" dxfId="210" priority="100" operator="containsText" text="X">
      <formula>NOT(ISERROR(SEARCH(("X"),(I9))))</formula>
    </cfRule>
  </conditionalFormatting>
  <conditionalFormatting sqref="I9:I10">
    <cfRule type="containsText" dxfId="209" priority="96" operator="containsText" text="X">
      <formula>NOT(ISERROR(SEARCH(("X"),(I9))))</formula>
    </cfRule>
    <cfRule type="containsText" dxfId="208" priority="95" operator="containsText" text="X">
      <formula>NOT(ISERROR(SEARCH(("X"),(I9))))</formula>
    </cfRule>
  </conditionalFormatting>
  <conditionalFormatting sqref="I10">
    <cfRule type="containsText" dxfId="207" priority="91" operator="containsText" text="X">
      <formula>NOT(ISERROR(SEARCH(("X"),(I10))))</formula>
    </cfRule>
    <cfRule type="containsText" dxfId="206" priority="94" operator="containsText" text="X">
      <formula>NOT(ISERROR(SEARCH(("X"),(I10))))</formula>
    </cfRule>
    <cfRule type="containsText" dxfId="205" priority="93" operator="containsText" text="X">
      <formula>NOT(ISERROR(SEARCH(("X"),(I10))))</formula>
    </cfRule>
    <cfRule type="containsText" dxfId="204" priority="92" operator="containsText" text="X">
      <formula>NOT(ISERROR(SEARCH(("X"),(I10))))</formula>
    </cfRule>
  </conditionalFormatting>
  <conditionalFormatting sqref="I12">
    <cfRule type="containsText" dxfId="203" priority="83" operator="containsText" text="X">
      <formula>NOT(ISERROR(SEARCH(("X"),(I12))))</formula>
    </cfRule>
    <cfRule type="containsText" dxfId="202" priority="81" operator="containsText" text="X">
      <formula>NOT(ISERROR(SEARCH(("X"),(I12))))</formula>
    </cfRule>
    <cfRule type="containsText" dxfId="201" priority="82" operator="containsText" text="X">
      <formula>NOT(ISERROR(SEARCH(("X"),(I12))))</formula>
    </cfRule>
    <cfRule type="containsText" dxfId="200" priority="84" operator="containsText" text="X">
      <formula>NOT(ISERROR(SEARCH(("X"),(I12))))</formula>
    </cfRule>
  </conditionalFormatting>
  <conditionalFormatting sqref="I12:I13">
    <cfRule type="containsText" dxfId="199" priority="77" operator="containsText" text="X">
      <formula>NOT(ISERROR(SEARCH(("X"),(I12))))</formula>
    </cfRule>
    <cfRule type="containsText" dxfId="198" priority="78" operator="containsText" text="X">
      <formula>NOT(ISERROR(SEARCH(("X"),(I12))))</formula>
    </cfRule>
  </conditionalFormatting>
  <conditionalFormatting sqref="I13">
    <cfRule type="containsText" dxfId="197" priority="73" operator="containsText" text="X">
      <formula>NOT(ISERROR(SEARCH(("X"),(I13))))</formula>
    </cfRule>
    <cfRule type="containsText" dxfId="196" priority="74" operator="containsText" text="X">
      <formula>NOT(ISERROR(SEARCH(("X"),(I13))))</formula>
    </cfRule>
    <cfRule type="containsText" dxfId="195" priority="75" operator="containsText" text="X">
      <formula>NOT(ISERROR(SEARCH(("X"),(I13))))</formula>
    </cfRule>
    <cfRule type="containsText" dxfId="194" priority="76" operator="containsText" text="X">
      <formula>NOT(ISERROR(SEARCH(("X"),(I13))))</formula>
    </cfRule>
  </conditionalFormatting>
  <conditionalFormatting sqref="I15">
    <cfRule type="containsText" dxfId="193" priority="72" operator="containsText" text="X">
      <formula>NOT(ISERROR(SEARCH(("X"),(I15))))</formula>
    </cfRule>
    <cfRule type="containsText" dxfId="192" priority="71" operator="containsText" text="X">
      <formula>NOT(ISERROR(SEARCH(("X"),(I15))))</formula>
    </cfRule>
    <cfRule type="containsText" dxfId="191" priority="70" operator="containsText" text="X">
      <formula>NOT(ISERROR(SEARCH(("X"),(I15))))</formula>
    </cfRule>
    <cfRule type="containsText" dxfId="190" priority="69" operator="containsText" text="X">
      <formula>NOT(ISERROR(SEARCH(("X"),(I15))))</formula>
    </cfRule>
    <cfRule type="containsText" dxfId="189" priority="67" operator="containsText" text="X">
      <formula>NOT(ISERROR(SEARCH(("X"),(I15))))</formula>
    </cfRule>
    <cfRule type="containsText" dxfId="188" priority="68" operator="containsText" text="X">
      <formula>NOT(ISERROR(SEARCH(("X"),(I15))))</formula>
    </cfRule>
  </conditionalFormatting>
  <conditionalFormatting sqref="I22">
    <cfRule type="containsText" dxfId="187" priority="189" operator="containsText" text="X">
      <formula>NOT(ISERROR(SEARCH(("X"),(I22))))</formula>
    </cfRule>
    <cfRule type="containsText" dxfId="186" priority="190" operator="containsText" text="X">
      <formula>NOT(ISERROR(SEARCH(("X"),(I22))))</formula>
    </cfRule>
    <cfRule type="containsText" dxfId="185" priority="192" operator="containsText" text="X">
      <formula>NOT(ISERROR(SEARCH(("X"),(I22))))</formula>
    </cfRule>
    <cfRule type="containsText" dxfId="184" priority="191" operator="containsText" text="X">
      <formula>NOT(ISERROR(SEARCH(("X"),(I22))))</formula>
    </cfRule>
  </conditionalFormatting>
  <conditionalFormatting sqref="I22:I23">
    <cfRule type="containsText" dxfId="183" priority="186" operator="containsText" text="X">
      <formula>NOT(ISERROR(SEARCH(("X"),(I22))))</formula>
    </cfRule>
    <cfRule type="containsText" dxfId="182" priority="185" operator="containsText" text="X">
      <formula>NOT(ISERROR(SEARCH(("X"),(I22))))</formula>
    </cfRule>
  </conditionalFormatting>
  <conditionalFormatting sqref="I23">
    <cfRule type="containsText" dxfId="181" priority="183" operator="containsText" text="X">
      <formula>NOT(ISERROR(SEARCH(("X"),(I23))))</formula>
    </cfRule>
    <cfRule type="containsText" dxfId="180" priority="184" operator="containsText" text="X">
      <formula>NOT(ISERROR(SEARCH(("X"),(I23))))</formula>
    </cfRule>
  </conditionalFormatting>
  <conditionalFormatting sqref="I23:I24">
    <cfRule type="containsText" dxfId="179" priority="180" operator="containsText" text="X">
      <formula>NOT(ISERROR(SEARCH(("X"),(I23))))</formula>
    </cfRule>
    <cfRule type="containsText" dxfId="178" priority="179" operator="containsText" text="X">
      <formula>NOT(ISERROR(SEARCH(("X"),(I23))))</formula>
    </cfRule>
  </conditionalFormatting>
  <conditionalFormatting sqref="I24">
    <cfRule type="containsText" dxfId="177" priority="176" operator="containsText" text="X">
      <formula>NOT(ISERROR(SEARCH(("X"),(I24))))</formula>
    </cfRule>
    <cfRule type="containsText" dxfId="176" priority="178" operator="containsText" text="X">
      <formula>NOT(ISERROR(SEARCH(("X"),(I24))))</formula>
    </cfRule>
    <cfRule type="containsText" dxfId="175" priority="177" operator="containsText" text="X">
      <formula>NOT(ISERROR(SEARCH(("X"),(I24))))</formula>
    </cfRule>
    <cfRule type="containsText" dxfId="174" priority="175" operator="containsText" text="X">
      <formula>NOT(ISERROR(SEARCH(("X"),(I24))))</formula>
    </cfRule>
  </conditionalFormatting>
  <conditionalFormatting sqref="I26">
    <cfRule type="containsText" dxfId="173" priority="173" operator="containsText" text="X">
      <formula>NOT(ISERROR(SEARCH(("X"),(I26))))</formula>
    </cfRule>
    <cfRule type="containsText" dxfId="172" priority="169" operator="containsText" text="X">
      <formula>NOT(ISERROR(SEARCH(("X"),(I26))))</formula>
    </cfRule>
    <cfRule type="containsText" dxfId="171" priority="170" operator="containsText" text="X">
      <formula>NOT(ISERROR(SEARCH(("X"),(I26))))</formula>
    </cfRule>
    <cfRule type="containsText" dxfId="170" priority="171" operator="containsText" text="X">
      <formula>NOT(ISERROR(SEARCH(("X"),(I26))))</formula>
    </cfRule>
    <cfRule type="containsText" dxfId="169" priority="172" operator="containsText" text="X">
      <formula>NOT(ISERROR(SEARCH(("X"),(I26))))</formula>
    </cfRule>
    <cfRule type="containsText" dxfId="168" priority="174" operator="containsText" text="X">
      <formula>NOT(ISERROR(SEARCH(("X"),(I26))))</formula>
    </cfRule>
  </conditionalFormatting>
  <conditionalFormatting sqref="I32">
    <cfRule type="containsText" dxfId="167" priority="53" operator="containsText" text="X">
      <formula>NOT(ISERROR(SEARCH(("X"),(I32))))</formula>
    </cfRule>
    <cfRule type="containsText" dxfId="166" priority="54" operator="containsText" text="X">
      <formula>NOT(ISERROR(SEARCH(("X"),(I32))))</formula>
    </cfRule>
    <cfRule type="containsText" dxfId="165" priority="51" operator="containsText" text="X">
      <formula>NOT(ISERROR(SEARCH(("X"),(I32))))</formula>
    </cfRule>
    <cfRule type="containsText" dxfId="164" priority="52" operator="containsText" text="X">
      <formula>NOT(ISERROR(SEARCH(("X"),(I32))))</formula>
    </cfRule>
  </conditionalFormatting>
  <conditionalFormatting sqref="I32:I33">
    <cfRule type="containsText" dxfId="163" priority="47" operator="containsText" text="X">
      <formula>NOT(ISERROR(SEARCH(("X"),(I32))))</formula>
    </cfRule>
    <cfRule type="containsText" dxfId="162" priority="48" operator="containsText" text="X">
      <formula>NOT(ISERROR(SEARCH(("X"),(I32))))</formula>
    </cfRule>
  </conditionalFormatting>
  <conditionalFormatting sqref="I33">
    <cfRule type="containsText" dxfId="161" priority="45" operator="containsText" text="X">
      <formula>NOT(ISERROR(SEARCH(("X"),(I33))))</formula>
    </cfRule>
    <cfRule type="containsText" dxfId="160" priority="46" operator="containsText" text="X">
      <formula>NOT(ISERROR(SEARCH(("X"),(I33))))</formula>
    </cfRule>
  </conditionalFormatting>
  <conditionalFormatting sqref="I33:I34">
    <cfRule type="containsText" dxfId="159" priority="41" operator="containsText" text="X">
      <formula>NOT(ISERROR(SEARCH(("X"),(I33))))</formula>
    </cfRule>
    <cfRule type="containsText" dxfId="158" priority="42" operator="containsText" text="X">
      <formula>NOT(ISERROR(SEARCH(("X"),(I33))))</formula>
    </cfRule>
  </conditionalFormatting>
  <conditionalFormatting sqref="I34">
    <cfRule type="containsText" dxfId="157" priority="39" operator="containsText" text="X">
      <formula>NOT(ISERROR(SEARCH(("X"),(I34))))</formula>
    </cfRule>
    <cfRule type="containsText" dxfId="156" priority="37" operator="containsText" text="X">
      <formula>NOT(ISERROR(SEARCH(("X"),(I34))))</formula>
    </cfRule>
    <cfRule type="containsText" dxfId="155" priority="38" operator="containsText" text="X">
      <formula>NOT(ISERROR(SEARCH(("X"),(I34))))</formula>
    </cfRule>
    <cfRule type="containsText" dxfId="154" priority="40" operator="containsText" text="X">
      <formula>NOT(ISERROR(SEARCH(("X"),(I34))))</formula>
    </cfRule>
  </conditionalFormatting>
  <conditionalFormatting sqref="J11">
    <cfRule type="containsText" dxfId="153" priority="89" operator="containsText" text="X">
      <formula>NOT(ISERROR(SEARCH(("X"),(J11))))</formula>
    </cfRule>
    <cfRule type="containsText" dxfId="152" priority="88" operator="containsText" text="X">
      <formula>NOT(ISERROR(SEARCH(("X"),(J11))))</formula>
    </cfRule>
    <cfRule type="containsText" dxfId="151" priority="87" operator="containsText" text="X">
      <formula>NOT(ISERROR(SEARCH(("X"),(J11))))</formula>
    </cfRule>
    <cfRule type="containsText" dxfId="150" priority="86" operator="containsText" text="X">
      <formula>NOT(ISERROR(SEARCH(("X"),(J11))))</formula>
    </cfRule>
    <cfRule type="containsText" dxfId="149" priority="85" operator="containsText" text="X">
      <formula>NOT(ISERROR(SEARCH(("X"),(J11))))</formula>
    </cfRule>
    <cfRule type="containsText" dxfId="148" priority="90" operator="containsText" text="X">
      <formula>NOT(ISERROR(SEARCH(("X"),(J11))))</formula>
    </cfRule>
  </conditionalFormatting>
  <conditionalFormatting sqref="J14">
    <cfRule type="containsText" dxfId="147" priority="66" operator="containsText" text="X">
      <formula>NOT(ISERROR(SEARCH(("X"),(J14))))</formula>
    </cfRule>
    <cfRule type="containsText" dxfId="146" priority="65" operator="containsText" text="X">
      <formula>NOT(ISERROR(SEARCH(("X"),(J14))))</formula>
    </cfRule>
    <cfRule type="containsText" dxfId="145" priority="64" operator="containsText" text="X">
      <formula>NOT(ISERROR(SEARCH(("X"),(J14))))</formula>
    </cfRule>
    <cfRule type="containsText" dxfId="144" priority="63" operator="containsText" text="X">
      <formula>NOT(ISERROR(SEARCH(("X"),(J14))))</formula>
    </cfRule>
    <cfRule type="containsText" dxfId="143" priority="62" operator="containsText" text="X">
      <formula>NOT(ISERROR(SEARCH(("X"),(J14))))</formula>
    </cfRule>
    <cfRule type="containsText" dxfId="142" priority="61" operator="containsText" text="X">
      <formula>NOT(ISERROR(SEARCH(("X"),(J14))))</formula>
    </cfRule>
  </conditionalFormatting>
  <conditionalFormatting sqref="J16">
    <cfRule type="containsText" dxfId="141" priority="60" operator="containsText" text="X">
      <formula>NOT(ISERROR(SEARCH(("X"),(J16))))</formula>
    </cfRule>
    <cfRule type="containsText" dxfId="140" priority="59" operator="containsText" text="X">
      <formula>NOT(ISERROR(SEARCH(("X"),(J16))))</formula>
    </cfRule>
    <cfRule type="containsText" dxfId="139" priority="58" operator="containsText" text="X">
      <formula>NOT(ISERROR(SEARCH(("X"),(J16))))</formula>
    </cfRule>
    <cfRule type="containsText" dxfId="138" priority="56" operator="containsText" text="X">
      <formula>NOT(ISERROR(SEARCH(("X"),(J16))))</formula>
    </cfRule>
    <cfRule type="containsText" dxfId="137" priority="55" operator="containsText" text="X">
      <formula>NOT(ISERROR(SEARCH(("X"),(J16))))</formula>
    </cfRule>
    <cfRule type="containsText" dxfId="136" priority="57" operator="containsText" text="X">
      <formula>NOT(ISERROR(SEARCH(("X"),(J16))))</formula>
    </cfRule>
  </conditionalFormatting>
  <conditionalFormatting sqref="J25">
    <cfRule type="containsText" dxfId="135" priority="166" operator="containsText" text="X">
      <formula>NOT(ISERROR(SEARCH(("X"),(J25))))</formula>
    </cfRule>
    <cfRule type="containsText" dxfId="134" priority="165" operator="containsText" text="X">
      <formula>NOT(ISERROR(SEARCH(("X"),(J25))))</formula>
    </cfRule>
    <cfRule type="containsText" dxfId="133" priority="164" operator="containsText" text="X">
      <formula>NOT(ISERROR(SEARCH(("X"),(J25))))</formula>
    </cfRule>
    <cfRule type="containsText" dxfId="132" priority="168" operator="containsText" text="X">
      <formula>NOT(ISERROR(SEARCH(("X"),(J25))))</formula>
    </cfRule>
    <cfRule type="containsText" dxfId="131" priority="163" operator="containsText" text="X">
      <formula>NOT(ISERROR(SEARCH(("X"),(J25))))</formula>
    </cfRule>
    <cfRule type="containsText" dxfId="130" priority="167" operator="containsText" text="X">
      <formula>NOT(ISERROR(SEARCH(("X"),(J25))))</formula>
    </cfRule>
  </conditionalFormatting>
  <conditionalFormatting sqref="J32">
    <cfRule type="containsText" dxfId="129" priority="257" operator="containsText" text="X">
      <formula>NOT(ISERROR(SEARCH(("X"),(J32))))</formula>
    </cfRule>
    <cfRule type="containsText" dxfId="128" priority="258" operator="containsText" text="X">
      <formula>NOT(ISERROR(SEARCH(("X"),(J32))))</formula>
    </cfRule>
    <cfRule type="containsText" dxfId="127" priority="255" operator="containsText" text="X">
      <formula>NOT(ISERROR(SEARCH(("X"),(J32))))</formula>
    </cfRule>
    <cfRule type="containsText" dxfId="126" priority="256" operator="containsText" text="X">
      <formula>NOT(ISERROR(SEARCH(("X"),(J32))))</formula>
    </cfRule>
  </conditionalFormatting>
  <conditionalFormatting sqref="J32:J33">
    <cfRule type="containsText" dxfId="125" priority="251" operator="containsText" text="X">
      <formula>NOT(ISERROR(SEARCH(("X"),(J32))))</formula>
    </cfRule>
    <cfRule type="containsText" dxfId="124" priority="252" operator="containsText" text="X">
      <formula>NOT(ISERROR(SEARCH(("X"),(J32))))</formula>
    </cfRule>
  </conditionalFormatting>
  <conditionalFormatting sqref="J33">
    <cfRule type="containsText" dxfId="123" priority="250" operator="containsText" text="X">
      <formula>NOT(ISERROR(SEARCH(("X"),(J33))))</formula>
    </cfRule>
    <cfRule type="containsText" dxfId="122" priority="249" operator="containsText" text="X">
      <formula>NOT(ISERROR(SEARCH(("X"),(J33))))</formula>
    </cfRule>
  </conditionalFormatting>
  <conditionalFormatting sqref="J33:J34">
    <cfRule type="containsText" dxfId="121" priority="246" operator="containsText" text="X">
      <formula>NOT(ISERROR(SEARCH(("X"),(J33))))</formula>
    </cfRule>
    <cfRule type="containsText" dxfId="120" priority="245" operator="containsText" text="X">
      <formula>NOT(ISERROR(SEARCH(("X"),(J33))))</formula>
    </cfRule>
  </conditionalFormatting>
  <conditionalFormatting sqref="J34">
    <cfRule type="containsText" dxfId="119" priority="243" operator="containsText" text="X">
      <formula>NOT(ISERROR(SEARCH(("X"),(J34))))</formula>
    </cfRule>
    <cfRule type="containsText" dxfId="118" priority="244" operator="containsText" text="X">
      <formula>NOT(ISERROR(SEARCH(("X"),(J34))))</formula>
    </cfRule>
    <cfRule type="containsText" dxfId="117" priority="242" operator="containsText" text="X">
      <formula>NOT(ISERROR(SEARCH(("X"),(J34))))</formula>
    </cfRule>
    <cfRule type="containsText" dxfId="116" priority="241" operator="containsText" text="X">
      <formula>NOT(ISERROR(SEARCH(("X"),(J34))))</formula>
    </cfRule>
  </conditionalFormatting>
  <conditionalFormatting sqref="O8">
    <cfRule type="containsText" dxfId="115" priority="110" operator="containsText" text="X">
      <formula>NOT(ISERROR(SEARCH(("X"),(O8))))</formula>
    </cfRule>
    <cfRule type="containsText" dxfId="114" priority="109" operator="containsText" text="X">
      <formula>NOT(ISERROR(SEARCH(("X"),(O8))))</formula>
    </cfRule>
    <cfRule type="containsText" dxfId="113" priority="111" operator="containsText" text="X">
      <formula>NOT(ISERROR(SEARCH(("X"),(O8))))</formula>
    </cfRule>
    <cfRule type="containsText" dxfId="112" priority="112" operator="containsText" text="X">
      <formula>NOT(ISERROR(SEARCH(("X"),(O8))))</formula>
    </cfRule>
  </conditionalFormatting>
  <conditionalFormatting sqref="O8:O9">
    <cfRule type="containsText" dxfId="111" priority="113" operator="containsText" text="X">
      <formula>NOT(ISERROR(SEARCH(("X"),(O8))))</formula>
    </cfRule>
    <cfRule type="containsText" dxfId="110" priority="114" operator="containsText" text="X">
      <formula>NOT(ISERROR(SEARCH(("X"),(O8))))</formula>
    </cfRule>
  </conditionalFormatting>
  <conditionalFormatting sqref="O9">
    <cfRule type="containsText" dxfId="109" priority="117" operator="containsText" text="X">
      <formula>NOT(ISERROR(SEARCH(("X"),(O9))))</formula>
    </cfRule>
    <cfRule type="containsText" dxfId="108" priority="118" operator="containsText" text="X">
      <formula>NOT(ISERROR(SEARCH(("X"),(O9))))</formula>
    </cfRule>
  </conditionalFormatting>
  <conditionalFormatting sqref="O9:O10">
    <cfRule type="containsText" dxfId="107" priority="119" operator="containsText" text="X">
      <formula>NOT(ISERROR(SEARCH(("X"),(O9))))</formula>
    </cfRule>
    <cfRule type="containsText" dxfId="106" priority="120" operator="containsText" text="X">
      <formula>NOT(ISERROR(SEARCH(("X"),(O9))))</formula>
    </cfRule>
  </conditionalFormatting>
  <conditionalFormatting sqref="O10">
    <cfRule type="containsText" dxfId="105" priority="126" operator="containsText" text="X">
      <formula>NOT(ISERROR(SEARCH(("X"),(O10))))</formula>
    </cfRule>
    <cfRule type="containsText" dxfId="104" priority="125" operator="containsText" text="X">
      <formula>NOT(ISERROR(SEARCH(("X"),(O10))))</formula>
    </cfRule>
    <cfRule type="containsText" dxfId="103" priority="123" operator="containsText" text="X">
      <formula>NOT(ISERROR(SEARCH(("X"),(O10))))</formula>
    </cfRule>
    <cfRule type="containsText" dxfId="102" priority="124" operator="containsText" text="X">
      <formula>NOT(ISERROR(SEARCH(("X"),(O10))))</formula>
    </cfRule>
  </conditionalFormatting>
  <conditionalFormatting sqref="O12">
    <cfRule type="containsText" dxfId="101" priority="136" operator="containsText" text="X">
      <formula>NOT(ISERROR(SEARCH(("X"),(O12))))</formula>
    </cfRule>
    <cfRule type="containsText" dxfId="100" priority="134" operator="containsText" text="X">
      <formula>NOT(ISERROR(SEARCH(("X"),(O12))))</formula>
    </cfRule>
    <cfRule type="containsText" dxfId="99" priority="135" operator="containsText" text="X">
      <formula>NOT(ISERROR(SEARCH(("X"),(O12))))</formula>
    </cfRule>
    <cfRule type="containsText" dxfId="98" priority="133" operator="containsText" text="X">
      <formula>NOT(ISERROR(SEARCH(("X"),(O12))))</formula>
    </cfRule>
  </conditionalFormatting>
  <conditionalFormatting sqref="O12:O13">
    <cfRule type="containsText" dxfId="97" priority="137" operator="containsText" text="X">
      <formula>NOT(ISERROR(SEARCH(("X"),(O12))))</formula>
    </cfRule>
    <cfRule type="containsText" dxfId="96" priority="138" operator="containsText" text="X">
      <formula>NOT(ISERROR(SEARCH(("X"),(O12))))</formula>
    </cfRule>
  </conditionalFormatting>
  <conditionalFormatting sqref="O13">
    <cfRule type="containsText" dxfId="95" priority="141" operator="containsText" text="X">
      <formula>NOT(ISERROR(SEARCH(("X"),(O13))))</formula>
    </cfRule>
    <cfRule type="containsText" dxfId="94" priority="142" operator="containsText" text="X">
      <formula>NOT(ISERROR(SEARCH(("X"),(O13))))</formula>
    </cfRule>
  </conditionalFormatting>
  <conditionalFormatting sqref="O13:O14">
    <cfRule type="containsText" dxfId="93" priority="144" operator="containsText" text="X">
      <formula>NOT(ISERROR(SEARCH(("X"),(O13))))</formula>
    </cfRule>
    <cfRule type="containsText" dxfId="92" priority="143" operator="containsText" text="X">
      <formula>NOT(ISERROR(SEARCH(("X"),(O13))))</formula>
    </cfRule>
  </conditionalFormatting>
  <conditionalFormatting sqref="O14">
    <cfRule type="containsText" dxfId="91" priority="147" operator="containsText" text="X">
      <formula>NOT(ISERROR(SEARCH(("X"),(O14))))</formula>
    </cfRule>
    <cfRule type="containsText" dxfId="90" priority="148" operator="containsText" text="X">
      <formula>NOT(ISERROR(SEARCH(("X"),(O14))))</formula>
    </cfRule>
  </conditionalFormatting>
  <conditionalFormatting sqref="O14:O15">
    <cfRule type="containsText" dxfId="89" priority="150" operator="containsText" text="X">
      <formula>NOT(ISERROR(SEARCH(("X"),(O14))))</formula>
    </cfRule>
    <cfRule type="containsText" dxfId="88" priority="149" operator="containsText" text="X">
      <formula>NOT(ISERROR(SEARCH(("X"),(O14))))</formula>
    </cfRule>
  </conditionalFormatting>
  <conditionalFormatting sqref="O15">
    <cfRule type="containsText" dxfId="87" priority="161" operator="containsText" text="X">
      <formula>NOT(ISERROR(SEARCH(("X"),(O15))))</formula>
    </cfRule>
    <cfRule type="containsText" dxfId="86" priority="159" operator="containsText" text="X">
      <formula>NOT(ISERROR(SEARCH(("X"),(O15))))</formula>
    </cfRule>
    <cfRule type="containsText" dxfId="85" priority="160" operator="containsText" text="X">
      <formula>NOT(ISERROR(SEARCH(("X"),(O15))))</formula>
    </cfRule>
    <cfRule type="containsText" dxfId="84" priority="162" operator="containsText" text="X">
      <formula>NOT(ISERROR(SEARCH(("X"),(O15))))</formula>
    </cfRule>
  </conditionalFormatting>
  <conditionalFormatting sqref="O22">
    <cfRule type="containsText" dxfId="83" priority="194" operator="containsText" text="X">
      <formula>NOT(ISERROR(SEARCH(("X"),(O22))))</formula>
    </cfRule>
    <cfRule type="containsText" dxfId="82" priority="196" operator="containsText" text="X">
      <formula>NOT(ISERROR(SEARCH(("X"),(O22))))</formula>
    </cfRule>
    <cfRule type="containsText" dxfId="81" priority="195" operator="containsText" text="X">
      <formula>NOT(ISERROR(SEARCH(("X"),(O22))))</formula>
    </cfRule>
    <cfRule type="containsText" dxfId="80" priority="193" operator="containsText" text="X">
      <formula>NOT(ISERROR(SEARCH(("X"),(O22))))</formula>
    </cfRule>
  </conditionalFormatting>
  <conditionalFormatting sqref="O22:O23">
    <cfRule type="containsText" dxfId="79" priority="197" operator="containsText" text="X">
      <formula>NOT(ISERROR(SEARCH(("X"),(O22))))</formula>
    </cfRule>
    <cfRule type="containsText" dxfId="78" priority="198" operator="containsText" text="X">
      <formula>NOT(ISERROR(SEARCH(("X"),(O22))))</formula>
    </cfRule>
  </conditionalFormatting>
  <conditionalFormatting sqref="O23">
    <cfRule type="containsText" dxfId="77" priority="201" operator="containsText" text="X">
      <formula>NOT(ISERROR(SEARCH(("X"),(O23))))</formula>
    </cfRule>
    <cfRule type="containsText" dxfId="76" priority="202" operator="containsText" text="X">
      <formula>NOT(ISERROR(SEARCH(("X"),(O23))))</formula>
    </cfRule>
  </conditionalFormatting>
  <conditionalFormatting sqref="O23:O24">
    <cfRule type="containsText" dxfId="75" priority="203" operator="containsText" text="X">
      <formula>NOT(ISERROR(SEARCH(("X"),(O23))))</formula>
    </cfRule>
    <cfRule type="containsText" dxfId="74" priority="204" operator="containsText" text="X">
      <formula>NOT(ISERROR(SEARCH(("X"),(O23))))</formula>
    </cfRule>
  </conditionalFormatting>
  <conditionalFormatting sqref="O24">
    <cfRule type="containsText" dxfId="73" priority="209" operator="containsText" text="X">
      <formula>NOT(ISERROR(SEARCH(("X"),(O24))))</formula>
    </cfRule>
    <cfRule type="containsText" dxfId="72" priority="210" operator="containsText" text="X">
      <formula>NOT(ISERROR(SEARCH(("X"),(O24))))</formula>
    </cfRule>
    <cfRule type="containsText" dxfId="71" priority="207" operator="containsText" text="X">
      <formula>NOT(ISERROR(SEARCH(("X"),(O24))))</formula>
    </cfRule>
    <cfRule type="containsText" dxfId="70" priority="208" operator="containsText" text="X">
      <formula>NOT(ISERROR(SEARCH(("X"),(O24))))</formula>
    </cfRule>
  </conditionalFormatting>
  <conditionalFormatting sqref="O26">
    <cfRule type="containsText" dxfId="69" priority="222" operator="containsText" text="X">
      <formula>NOT(ISERROR(SEARCH(("X"),(O26))))</formula>
    </cfRule>
    <cfRule type="containsText" dxfId="68" priority="217" operator="containsText" text="X">
      <formula>NOT(ISERROR(SEARCH(("X"),(O26))))</formula>
    </cfRule>
    <cfRule type="containsText" dxfId="67" priority="218" operator="containsText" text="X">
      <formula>NOT(ISERROR(SEARCH(("X"),(O26))))</formula>
    </cfRule>
    <cfRule type="containsText" dxfId="66" priority="219" operator="containsText" text="X">
      <formula>NOT(ISERROR(SEARCH(("X"),(O26))))</formula>
    </cfRule>
    <cfRule type="containsText" dxfId="65" priority="220" operator="containsText" text="X">
      <formula>NOT(ISERROR(SEARCH(("X"),(O26))))</formula>
    </cfRule>
    <cfRule type="containsText" dxfId="64" priority="221" operator="containsText" text="X">
      <formula>NOT(ISERROR(SEARCH(("X"),(O26))))</formula>
    </cfRule>
  </conditionalFormatting>
  <conditionalFormatting sqref="O32">
    <cfRule type="containsText" dxfId="63" priority="35" operator="containsText" text="X">
      <formula>NOT(ISERROR(SEARCH(("X"),(O32))))</formula>
    </cfRule>
    <cfRule type="containsText" dxfId="62" priority="36" operator="containsText" text="X">
      <formula>NOT(ISERROR(SEARCH(("X"),(O32))))</formula>
    </cfRule>
    <cfRule type="containsText" dxfId="61" priority="33" operator="containsText" text="X">
      <formula>NOT(ISERROR(SEARCH(("X"),(O32))))</formula>
    </cfRule>
    <cfRule type="containsText" dxfId="60" priority="34" operator="containsText" text="X">
      <formula>NOT(ISERROR(SEARCH(("X"),(O32))))</formula>
    </cfRule>
  </conditionalFormatting>
  <conditionalFormatting sqref="O32:O33">
    <cfRule type="containsText" dxfId="59" priority="29" operator="containsText" text="X">
      <formula>NOT(ISERROR(SEARCH(("X"),(O32))))</formula>
    </cfRule>
    <cfRule type="containsText" dxfId="58" priority="30" operator="containsText" text="X">
      <formula>NOT(ISERROR(SEARCH(("X"),(O32))))</formula>
    </cfRule>
  </conditionalFormatting>
  <conditionalFormatting sqref="O33">
    <cfRule type="containsText" dxfId="57" priority="27" operator="containsText" text="X">
      <formula>NOT(ISERROR(SEARCH(("X"),(O33))))</formula>
    </cfRule>
    <cfRule type="containsText" dxfId="56" priority="28" operator="containsText" text="X">
      <formula>NOT(ISERROR(SEARCH(("X"),(O33))))</formula>
    </cfRule>
  </conditionalFormatting>
  <conditionalFormatting sqref="O33:O34">
    <cfRule type="containsText" dxfId="55" priority="23" operator="containsText" text="X">
      <formula>NOT(ISERROR(SEARCH(("X"),(O33))))</formula>
    </cfRule>
    <cfRule type="containsText" dxfId="54" priority="24" operator="containsText" text="X">
      <formula>NOT(ISERROR(SEARCH(("X"),(O33))))</formula>
    </cfRule>
  </conditionalFormatting>
  <conditionalFormatting sqref="O34">
    <cfRule type="containsText" dxfId="53" priority="21" operator="containsText" text="X">
      <formula>NOT(ISERROR(SEARCH(("X"),(O34))))</formula>
    </cfRule>
    <cfRule type="containsText" dxfId="52" priority="19" operator="containsText" text="X">
      <formula>NOT(ISERROR(SEARCH(("X"),(O34))))</formula>
    </cfRule>
    <cfRule type="containsText" dxfId="51" priority="20" operator="containsText" text="X">
      <formula>NOT(ISERROR(SEARCH(("X"),(O34))))</formula>
    </cfRule>
    <cfRule type="containsText" dxfId="50" priority="22" operator="containsText" text="X">
      <formula>NOT(ISERROR(SEARCH(("X"),(O34))))</formula>
    </cfRule>
  </conditionalFormatting>
  <conditionalFormatting sqref="P11">
    <cfRule type="containsText" dxfId="49" priority="131" operator="containsText" text="X">
      <formula>NOT(ISERROR(SEARCH(("X"),(P11))))</formula>
    </cfRule>
    <cfRule type="containsText" dxfId="48" priority="129" operator="containsText" text="X">
      <formula>NOT(ISERROR(SEARCH(("X"),(P11))))</formula>
    </cfRule>
    <cfRule type="containsText" dxfId="47" priority="132" operator="containsText" text="X">
      <formula>NOT(ISERROR(SEARCH(("X"),(P11))))</formula>
    </cfRule>
    <cfRule type="containsText" dxfId="46" priority="127" operator="containsText" text="X">
      <formula>NOT(ISERROR(SEARCH(("X"),(P11))))</formula>
    </cfRule>
    <cfRule type="containsText" dxfId="45" priority="128" operator="containsText" text="X">
      <formula>NOT(ISERROR(SEARCH(("X"),(P11))))</formula>
    </cfRule>
    <cfRule type="containsText" dxfId="44" priority="130" operator="containsText" text="X">
      <formula>NOT(ISERROR(SEARCH(("X"),(P11))))</formula>
    </cfRule>
  </conditionalFormatting>
  <conditionalFormatting sqref="P16">
    <cfRule type="containsText" dxfId="43" priority="154" operator="containsText" text="X">
      <formula>NOT(ISERROR(SEARCH(("X"),(P16))))</formula>
    </cfRule>
    <cfRule type="containsText" dxfId="42" priority="151" operator="containsText" text="X">
      <formula>NOT(ISERROR(SEARCH(("X"),(P16))))</formula>
    </cfRule>
    <cfRule type="containsText" dxfId="41" priority="152" operator="containsText" text="X">
      <formula>NOT(ISERROR(SEARCH(("X"),(P16))))</formula>
    </cfRule>
    <cfRule type="containsText" dxfId="40" priority="155" operator="containsText" text="X">
      <formula>NOT(ISERROR(SEARCH(("X"),(P16))))</formula>
    </cfRule>
    <cfRule type="containsText" dxfId="39" priority="156" operator="containsText" text="X">
      <formula>NOT(ISERROR(SEARCH(("X"),(P16))))</formula>
    </cfRule>
    <cfRule type="containsText" dxfId="38" priority="153" operator="containsText" text="X">
      <formula>NOT(ISERROR(SEARCH(("X"),(P16))))</formula>
    </cfRule>
  </conditionalFormatting>
  <conditionalFormatting sqref="P25">
    <cfRule type="containsText" dxfId="37" priority="216" operator="containsText" text="X">
      <formula>NOT(ISERROR(SEARCH(("X"),(P25))))</formula>
    </cfRule>
    <cfRule type="containsText" dxfId="36" priority="215" operator="containsText" text="X">
      <formula>NOT(ISERROR(SEARCH(("X"),(P25))))</formula>
    </cfRule>
    <cfRule type="containsText" dxfId="35" priority="214" operator="containsText" text="X">
      <formula>NOT(ISERROR(SEARCH(("X"),(P25))))</formula>
    </cfRule>
    <cfRule type="containsText" dxfId="34" priority="213" operator="containsText" text="X">
      <formula>NOT(ISERROR(SEARCH(("X"),(P25))))</formula>
    </cfRule>
    <cfRule type="containsText" dxfId="33" priority="212" operator="containsText" text="X">
      <formula>NOT(ISERROR(SEARCH(("X"),(P25))))</formula>
    </cfRule>
    <cfRule type="containsText" dxfId="32" priority="211" operator="containsText" text="X">
      <formula>NOT(ISERROR(SEARCH(("X"),(P25))))</formula>
    </cfRule>
  </conditionalFormatting>
  <conditionalFormatting sqref="P32">
    <cfRule type="containsText" dxfId="31" priority="239" operator="containsText" text="X">
      <formula>NOT(ISERROR(SEARCH(("X"),(P32))))</formula>
    </cfRule>
    <cfRule type="containsText" dxfId="30" priority="237" operator="containsText" text="X">
      <formula>NOT(ISERROR(SEARCH(("X"),(P32))))</formula>
    </cfRule>
    <cfRule type="containsText" dxfId="29" priority="238" operator="containsText" text="X">
      <formula>NOT(ISERROR(SEARCH(("X"),(P32))))</formula>
    </cfRule>
    <cfRule type="containsText" dxfId="28" priority="240" operator="containsText" text="X">
      <formula>NOT(ISERROR(SEARCH(("X"),(P32))))</formula>
    </cfRule>
  </conditionalFormatting>
  <conditionalFormatting sqref="P32:P33">
    <cfRule type="containsText" dxfId="27" priority="233" operator="containsText" text="X">
      <formula>NOT(ISERROR(SEARCH(("X"),(P32))))</formula>
    </cfRule>
    <cfRule type="containsText" dxfId="26" priority="234" operator="containsText" text="X">
      <formula>NOT(ISERROR(SEARCH(("X"),(P32))))</formula>
    </cfRule>
  </conditionalFormatting>
  <conditionalFormatting sqref="P33">
    <cfRule type="containsText" dxfId="25" priority="232" operator="containsText" text="X">
      <formula>NOT(ISERROR(SEARCH(("X"),(P33))))</formula>
    </cfRule>
    <cfRule type="containsText" dxfId="24" priority="231" operator="containsText" text="X">
      <formula>NOT(ISERROR(SEARCH(("X"),(P33))))</formula>
    </cfRule>
  </conditionalFormatting>
  <conditionalFormatting sqref="P33:P34">
    <cfRule type="containsText" dxfId="23" priority="227" operator="containsText" text="X">
      <formula>NOT(ISERROR(SEARCH(("X"),(P33))))</formula>
    </cfRule>
    <cfRule type="containsText" dxfId="22" priority="228" operator="containsText" text="X">
      <formula>NOT(ISERROR(SEARCH(("X"),(P33))))</formula>
    </cfRule>
  </conditionalFormatting>
  <conditionalFormatting sqref="P34">
    <cfRule type="containsText" dxfId="21" priority="226" operator="containsText" text="X">
      <formula>NOT(ISERROR(SEARCH(("X"),(P34))))</formula>
    </cfRule>
    <cfRule type="containsText" dxfId="20" priority="225" operator="containsText" text="X">
      <formula>NOT(ISERROR(SEARCH(("X"),(P34))))</formula>
    </cfRule>
    <cfRule type="containsText" dxfId="19" priority="224" operator="containsText" text="X">
      <formula>NOT(ISERROR(SEARCH(("X"),(P34))))</formula>
    </cfRule>
    <cfRule type="containsText" dxfId="18" priority="223" operator="containsText" text="X">
      <formula>NOT(ISERROR(SEARCH(("X"),(P34))))</formula>
    </cfRule>
  </conditionalFormatting>
  <conditionalFormatting sqref="C32">
    <cfRule type="containsText" dxfId="17" priority="17" operator="containsText" text="X">
      <formula>NOT(ISERROR(SEARCH(("X"),(C32))))</formula>
    </cfRule>
    <cfRule type="containsText" dxfId="16" priority="18" operator="containsText" text="X">
      <formula>NOT(ISERROR(SEARCH(("X"),(C32))))</formula>
    </cfRule>
  </conditionalFormatting>
  <conditionalFormatting sqref="C32">
    <cfRule type="containsText" dxfId="12" priority="13" operator="containsText" text="X">
      <formula>NOT(ISERROR(SEARCH(("X"),(C32))))</formula>
    </cfRule>
    <cfRule type="containsText" dxfId="13" priority="14" operator="containsText" text="X">
      <formula>NOT(ISERROR(SEARCH(("X"),(C32))))</formula>
    </cfRule>
    <cfRule type="containsText" dxfId="14" priority="15" operator="containsText" text="X">
      <formula>NOT(ISERROR(SEARCH(("X"),(C32))))</formula>
    </cfRule>
    <cfRule type="containsText" dxfId="15" priority="16" operator="containsText" text="X">
      <formula>NOT(ISERROR(SEARCH(("X"),(C32))))</formula>
    </cfRule>
  </conditionalFormatting>
  <conditionalFormatting sqref="C33">
    <cfRule type="containsText" dxfId="11" priority="11" operator="containsText" text="X">
      <formula>NOT(ISERROR(SEARCH(("X"),(C33))))</formula>
    </cfRule>
    <cfRule type="containsText" dxfId="10" priority="12" operator="containsText" text="X">
      <formula>NOT(ISERROR(SEARCH(("X"),(C33))))</formula>
    </cfRule>
  </conditionalFormatting>
  <conditionalFormatting sqref="C33">
    <cfRule type="containsText" dxfId="6" priority="7" operator="containsText" text="X">
      <formula>NOT(ISERROR(SEARCH(("X"),(C33))))</formula>
    </cfRule>
    <cfRule type="containsText" dxfId="7" priority="8" operator="containsText" text="X">
      <formula>NOT(ISERROR(SEARCH(("X"),(C33))))</formula>
    </cfRule>
    <cfRule type="containsText" dxfId="8" priority="9" operator="containsText" text="X">
      <formula>NOT(ISERROR(SEARCH(("X"),(C33))))</formula>
    </cfRule>
    <cfRule type="containsText" dxfId="9" priority="10" operator="containsText" text="X">
      <formula>NOT(ISERROR(SEARCH(("X"),(C33))))</formula>
    </cfRule>
  </conditionalFormatting>
  <conditionalFormatting sqref="C34">
    <cfRule type="containsText" dxfId="5" priority="5" operator="containsText" text="X">
      <formula>NOT(ISERROR(SEARCH(("X"),(C34))))</formula>
    </cfRule>
    <cfRule type="containsText" dxfId="4" priority="6" operator="containsText" text="X">
      <formula>NOT(ISERROR(SEARCH(("X"),(C34))))</formula>
    </cfRule>
  </conditionalFormatting>
  <conditionalFormatting sqref="C34">
    <cfRule type="containsText" dxfId="0" priority="1" operator="containsText" text="X">
      <formula>NOT(ISERROR(SEARCH(("X"),(C34))))</formula>
    </cfRule>
    <cfRule type="containsText" dxfId="1" priority="2" operator="containsText" text="X">
      <formula>NOT(ISERROR(SEARCH(("X"),(C34))))</formula>
    </cfRule>
    <cfRule type="containsText" dxfId="2" priority="3" operator="containsText" text="X">
      <formula>NOT(ISERROR(SEARCH(("X"),(C34))))</formula>
    </cfRule>
    <cfRule type="containsText" dxfId="3" priority="4" operator="containsText" text="X">
      <formula>NOT(ISERROR(SEARCH(("X"),(C34))))</formula>
    </cfRule>
  </conditionalFormatting>
  <pageMargins left="0.7" right="0.7" top="0.75" bottom="0.75" header="0" footer="0"/>
  <pageSetup paperSize="9" orientation="portrait"/>
  <drawing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9"/>
  <sheetViews>
    <sheetView tabSelected="1" zoomScale="26" workbookViewId="0">
      <selection activeCell="A12" sqref="A12"/>
    </sheetView>
  </sheetViews>
  <sheetFormatPr baseColWidth="10" defaultColWidth="14.44140625" defaultRowHeight="15" customHeight="1" x14ac:dyDescent="0.3"/>
  <cols>
    <col min="1" max="1" width="53.109375" customWidth="1"/>
    <col min="2" max="2" width="57.33203125" customWidth="1"/>
    <col min="3" max="4" width="10.6640625" customWidth="1"/>
  </cols>
  <sheetData>
    <row r="1" spans="1:2" ht="37.950000000000003" customHeight="1" x14ac:dyDescent="0.3">
      <c r="A1" s="77" t="s">
        <v>49</v>
      </c>
      <c r="B1" s="78"/>
    </row>
    <row r="2" spans="1:2" ht="14.4" x14ac:dyDescent="0.3">
      <c r="A2" s="59" t="s">
        <v>47</v>
      </c>
      <c r="B2" s="59" t="s">
        <v>48</v>
      </c>
    </row>
    <row r="3" spans="1:2" ht="127.95" customHeight="1" x14ac:dyDescent="0.3">
      <c r="A3" s="60" t="s">
        <v>94</v>
      </c>
      <c r="B3" s="60" t="s">
        <v>102</v>
      </c>
    </row>
    <row r="4" spans="1:2" ht="142.94999999999999" customHeight="1" x14ac:dyDescent="0.3">
      <c r="A4" s="60" t="s">
        <v>95</v>
      </c>
      <c r="B4" s="61" t="s">
        <v>96</v>
      </c>
    </row>
    <row r="9" spans="1:2" ht="37.950000000000003" customHeight="1" x14ac:dyDescent="0.3">
      <c r="A9" s="77" t="s">
        <v>50</v>
      </c>
      <c r="B9" s="78"/>
    </row>
    <row r="10" spans="1:2" ht="14.4" x14ac:dyDescent="0.3">
      <c r="A10" s="59" t="s">
        <v>47</v>
      </c>
      <c r="B10" s="59" t="s">
        <v>48</v>
      </c>
    </row>
    <row r="11" spans="1:2" ht="127.95" customHeight="1" x14ac:dyDescent="0.3">
      <c r="A11" s="60" t="s">
        <v>94</v>
      </c>
      <c r="B11" s="60" t="s">
        <v>103</v>
      </c>
    </row>
    <row r="12" spans="1:2" ht="142.94999999999999" customHeight="1" x14ac:dyDescent="0.3">
      <c r="A12" s="60" t="s">
        <v>95</v>
      </c>
      <c r="B12" s="60" t="s">
        <v>97</v>
      </c>
    </row>
    <row r="17" spans="1:2" ht="37.950000000000003" customHeight="1" x14ac:dyDescent="0.3">
      <c r="A17" s="77" t="s">
        <v>51</v>
      </c>
      <c r="B17" s="78"/>
    </row>
    <row r="18" spans="1:2" ht="14.4" x14ac:dyDescent="0.3">
      <c r="A18" s="59" t="s">
        <v>47</v>
      </c>
      <c r="B18" s="59" t="s">
        <v>48</v>
      </c>
    </row>
    <row r="19" spans="1:2" ht="127.95" customHeight="1" x14ac:dyDescent="0.3">
      <c r="A19" s="60" t="s">
        <v>94</v>
      </c>
      <c r="B19" s="60" t="s">
        <v>104</v>
      </c>
    </row>
    <row r="20" spans="1:2" ht="142.94999999999999" customHeight="1" x14ac:dyDescent="0.3">
      <c r="A20" s="60" t="s">
        <v>95</v>
      </c>
      <c r="B20" s="60" t="s">
        <v>98</v>
      </c>
    </row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">
    <mergeCell ref="A1:B1"/>
    <mergeCell ref="A9:B9"/>
    <mergeCell ref="A17:B17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Ckeck LIst</vt:lpstr>
      <vt:lpstr>CheckList</vt:lpstr>
      <vt:lpstr>MODELO LISTA DE COMPROBACION - </vt:lpstr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Kerly Andreina</cp:lastModifiedBy>
  <dcterms:created xsi:type="dcterms:W3CDTF">2026-04-14T13:46:44Z</dcterms:created>
  <dcterms:modified xsi:type="dcterms:W3CDTF">2026-10-04T23:41:41Z</dcterms:modified>
</cp:coreProperties>
</file>